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fraunhofer.sharepoint.com/sites/cetpartnershipMultilinearModels/Freigegebene Dokumente/General/7_Deliverables and Milestones/"/>
    </mc:Choice>
  </mc:AlternateContent>
  <xr:revisionPtr revIDLastSave="0" documentId="8_{C6D1E854-D8AD-4998-8E7C-FE4232A535CB}" xr6:coauthVersionLast="47" xr6:coauthVersionMax="47" xr10:uidLastSave="{00000000-0000-0000-0000-000000000000}"/>
  <bookViews>
    <workbookView xWindow="-108" yWindow="-108" windowWidth="41496" windowHeight="16776" xr2:uid="{B8A297E6-9644-4377-8767-D99055CEF454}"/>
  </bookViews>
  <sheets>
    <sheet name="Gantt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6" i="2" l="1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F65" i="2"/>
  <c r="L65" i="2" s="1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T61" i="2"/>
  <c r="U61" i="2"/>
  <c r="R61" i="2"/>
  <c r="Q61" i="2"/>
  <c r="P61" i="2"/>
  <c r="O61" i="2"/>
  <c r="N61" i="2"/>
  <c r="M61" i="2"/>
  <c r="L61" i="2"/>
  <c r="K61" i="2"/>
  <c r="J61" i="2"/>
  <c r="I61" i="2"/>
  <c r="H61" i="2"/>
  <c r="G61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F57" i="2"/>
  <c r="L57" i="2" s="1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F46" i="2"/>
  <c r="AB46" i="2" s="1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AP42" i="2"/>
  <c r="AO42" i="2"/>
  <c r="AN42" i="2"/>
  <c r="AM42" i="2"/>
  <c r="AL42" i="2"/>
  <c r="AK42" i="2"/>
  <c r="AJ42" i="2"/>
  <c r="AI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F36" i="2"/>
  <c r="K36" i="2" s="1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F25" i="2"/>
  <c r="AL25" i="2" s="1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F15" i="2"/>
  <c r="AE15" i="2" s="1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F5" i="2"/>
  <c r="AE5" i="2" s="1"/>
  <c r="AF57" i="2" l="1"/>
  <c r="AI46" i="2"/>
  <c r="AE46" i="2"/>
  <c r="AF46" i="2"/>
  <c r="AC36" i="2"/>
  <c r="AD36" i="2"/>
  <c r="AI15" i="2"/>
  <c r="AE36" i="2"/>
  <c r="X57" i="2"/>
  <c r="AG15" i="2"/>
  <c r="AH15" i="2"/>
  <c r="AJ15" i="2"/>
  <c r="Y57" i="2"/>
  <c r="Z57" i="2"/>
  <c r="AA57" i="2"/>
  <c r="AB57" i="2"/>
  <c r="Y15" i="2"/>
  <c r="AA36" i="2"/>
  <c r="AF15" i="2"/>
  <c r="AB36" i="2"/>
  <c r="G25" i="2"/>
  <c r="AC57" i="2"/>
  <c r="AC46" i="2"/>
  <c r="AD57" i="2"/>
  <c r="AD46" i="2"/>
  <c r="AE57" i="2"/>
  <c r="G5" i="2"/>
  <c r="G46" i="2"/>
  <c r="L25" i="2"/>
  <c r="AC25" i="2"/>
  <c r="AD25" i="2"/>
  <c r="AJ46" i="2"/>
  <c r="AK15" i="2"/>
  <c r="AE25" i="2"/>
  <c r="H46" i="2"/>
  <c r="AK46" i="2"/>
  <c r="N65" i="2"/>
  <c r="G65" i="2"/>
  <c r="L15" i="2"/>
  <c r="AL15" i="2"/>
  <c r="I46" i="2"/>
  <c r="AL46" i="2"/>
  <c r="O65" i="2"/>
  <c r="M15" i="2"/>
  <c r="AM15" i="2"/>
  <c r="J46" i="2"/>
  <c r="P65" i="2"/>
  <c r="N15" i="2"/>
  <c r="AN15" i="2"/>
  <c r="G36" i="2"/>
  <c r="K46" i="2"/>
  <c r="Q65" i="2"/>
  <c r="O15" i="2"/>
  <c r="AO15" i="2"/>
  <c r="L46" i="2"/>
  <c r="R65" i="2"/>
  <c r="W5" i="2"/>
  <c r="P15" i="2"/>
  <c r="AP15" i="2"/>
  <c r="M46" i="2"/>
  <c r="Z65" i="2"/>
  <c r="X5" i="2"/>
  <c r="Q15" i="2"/>
  <c r="AQ15" i="2"/>
  <c r="M36" i="2"/>
  <c r="N46" i="2"/>
  <c r="AA65" i="2"/>
  <c r="Y5" i="2"/>
  <c r="R15" i="2"/>
  <c r="N36" i="2"/>
  <c r="O46" i="2"/>
  <c r="AB65" i="2"/>
  <c r="S15" i="2"/>
  <c r="O36" i="2"/>
  <c r="P46" i="2"/>
  <c r="AC65" i="2"/>
  <c r="T15" i="2"/>
  <c r="P36" i="2"/>
  <c r="Q46" i="2"/>
  <c r="AD65" i="2"/>
  <c r="U15" i="2"/>
  <c r="Q36" i="2"/>
  <c r="R46" i="2"/>
  <c r="AE65" i="2"/>
  <c r="V15" i="2"/>
  <c r="X36" i="2"/>
  <c r="Z46" i="2"/>
  <c r="U57" i="2"/>
  <c r="G57" i="2"/>
  <c r="AF65" i="2"/>
  <c r="W15" i="2"/>
  <c r="Y36" i="2"/>
  <c r="AA46" i="2"/>
  <c r="V57" i="2"/>
  <c r="X15" i="2"/>
  <c r="Z36" i="2"/>
  <c r="W57" i="2"/>
  <c r="Z5" i="2"/>
  <c r="X25" i="2"/>
  <c r="AQ25" i="2"/>
  <c r="W25" i="2"/>
  <c r="AP25" i="2"/>
  <c r="V25" i="2"/>
  <c r="AO25" i="2"/>
  <c r="U25" i="2"/>
  <c r="AN25" i="2"/>
  <c r="T25" i="2"/>
  <c r="AM25" i="2"/>
  <c r="S25" i="2"/>
  <c r="AF25" i="2"/>
  <c r="AA5" i="2"/>
  <c r="AG25" i="2"/>
  <c r="AB5" i="2"/>
  <c r="H25" i="2"/>
  <c r="AH25" i="2"/>
  <c r="AC5" i="2"/>
  <c r="I25" i="2"/>
  <c r="AI25" i="2"/>
  <c r="AD5" i="2"/>
  <c r="J25" i="2"/>
  <c r="AJ25" i="2"/>
  <c r="K25" i="2"/>
  <c r="AK25" i="2"/>
  <c r="AO5" i="2"/>
  <c r="U5" i="2"/>
  <c r="AN5" i="2"/>
  <c r="T5" i="2"/>
  <c r="AM5" i="2"/>
  <c r="S5" i="2"/>
  <c r="AL5" i="2"/>
  <c r="R5" i="2"/>
  <c r="AK5" i="2"/>
  <c r="Q5" i="2"/>
  <c r="AJ5" i="2"/>
  <c r="P5" i="2"/>
  <c r="AF5" i="2"/>
  <c r="H57" i="2"/>
  <c r="H65" i="2"/>
  <c r="AI65" i="2"/>
  <c r="L5" i="2"/>
  <c r="R25" i="2"/>
  <c r="I36" i="2"/>
  <c r="AI36" i="2"/>
  <c r="J57" i="2"/>
  <c r="J65" i="2"/>
  <c r="AK65" i="2"/>
  <c r="N5" i="2"/>
  <c r="Z25" i="2"/>
  <c r="J36" i="2"/>
  <c r="K57" i="2"/>
  <c r="O5" i="2"/>
  <c r="AA25" i="2"/>
  <c r="Y46" i="2"/>
  <c r="X46" i="2"/>
  <c r="AQ46" i="2"/>
  <c r="W46" i="2"/>
  <c r="AP46" i="2"/>
  <c r="V46" i="2"/>
  <c r="AO46" i="2"/>
  <c r="U46" i="2"/>
  <c r="AN46" i="2"/>
  <c r="T46" i="2"/>
  <c r="AM46" i="2"/>
  <c r="S46" i="2"/>
  <c r="AG46" i="2"/>
  <c r="AG5" i="2"/>
  <c r="M25" i="2"/>
  <c r="H5" i="2"/>
  <c r="AH5" i="2"/>
  <c r="N25" i="2"/>
  <c r="I5" i="2"/>
  <c r="AI5" i="2"/>
  <c r="O25" i="2"/>
  <c r="AM57" i="2"/>
  <c r="S57" i="2"/>
  <c r="AL57" i="2"/>
  <c r="R57" i="2"/>
  <c r="AK57" i="2"/>
  <c r="Q57" i="2"/>
  <c r="AJ57" i="2"/>
  <c r="P57" i="2"/>
  <c r="AI57" i="2"/>
  <c r="O57" i="2"/>
  <c r="AH57" i="2"/>
  <c r="N57" i="2"/>
  <c r="AG57" i="2"/>
  <c r="M57" i="2"/>
  <c r="AN57" i="2"/>
  <c r="Y65" i="2"/>
  <c r="X65" i="2"/>
  <c r="AQ65" i="2"/>
  <c r="W65" i="2"/>
  <c r="AP65" i="2"/>
  <c r="V65" i="2"/>
  <c r="AO65" i="2"/>
  <c r="U65" i="2"/>
  <c r="AN65" i="2"/>
  <c r="T65" i="2"/>
  <c r="AM65" i="2"/>
  <c r="S65" i="2"/>
  <c r="AG65" i="2"/>
  <c r="J5" i="2"/>
  <c r="AP5" i="2"/>
  <c r="P25" i="2"/>
  <c r="AQ36" i="2"/>
  <c r="W36" i="2"/>
  <c r="AP36" i="2"/>
  <c r="V36" i="2"/>
  <c r="AO36" i="2"/>
  <c r="U36" i="2"/>
  <c r="AN36" i="2"/>
  <c r="T36" i="2"/>
  <c r="AM36" i="2"/>
  <c r="S36" i="2"/>
  <c r="AL36" i="2"/>
  <c r="R36" i="2"/>
  <c r="AK36" i="2"/>
  <c r="AF36" i="2"/>
  <c r="AO57" i="2"/>
  <c r="AH65" i="2"/>
  <c r="K5" i="2"/>
  <c r="AQ5" i="2"/>
  <c r="Q25" i="2"/>
  <c r="AG36" i="2"/>
  <c r="AP57" i="2"/>
  <c r="G15" i="2"/>
  <c r="H36" i="2"/>
  <c r="AH36" i="2"/>
  <c r="I57" i="2"/>
  <c r="AQ57" i="2"/>
  <c r="I65" i="2"/>
  <c r="AJ65" i="2"/>
  <c r="M5" i="2"/>
  <c r="Y25" i="2"/>
  <c r="AJ36" i="2"/>
  <c r="K65" i="2"/>
  <c r="AL65" i="2"/>
  <c r="V5" i="2"/>
  <c r="AB25" i="2"/>
  <c r="L36" i="2"/>
  <c r="AH46" i="2"/>
  <c r="T57" i="2"/>
  <c r="M65" i="2"/>
  <c r="Z15" i="2"/>
  <c r="AA15" i="2"/>
  <c r="H15" i="2"/>
  <c r="AB15" i="2"/>
  <c r="I15" i="2"/>
  <c r="AC15" i="2"/>
  <c r="J15" i="2"/>
  <c r="AD15" i="2"/>
  <c r="K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tc={62ADA696-EC8A-43CB-8B81-18FB7D546B42}</author>
  </authors>
  <commentList>
    <comment ref="C32" authorId="0" shapeId="0" xr:uid="{62ADA696-EC8A-43CB-8B81-18FB7D546B42}">
      <text>
        <t>[Threaded comment]
Your version of Excel allows you to read this threaded comment; however, any edits to it will get removed if the file is opened in a newer version of Excel. Learn more: https://go.microsoft.com/fwlink/?linkid=870924
Comment:
    D3.1 Requirements for MTI Models / Most critical nonlinearities --&gt; input for WP1</t>
      </text>
    </comment>
  </commentList>
</comments>
</file>

<file path=xl/sharedStrings.xml><?xml version="1.0" encoding="utf-8"?>
<sst xmlns="http://schemas.openxmlformats.org/spreadsheetml/2006/main" count="384" uniqueCount="174">
  <si>
    <t>Reviewers</t>
  </si>
  <si>
    <t>Dissemination level</t>
  </si>
  <si>
    <t>Status</t>
  </si>
  <si>
    <t>Dec</t>
  </si>
  <si>
    <t>Jan</t>
  </si>
  <si>
    <t>Feb</t>
  </si>
  <si>
    <t>Mar</t>
  </si>
  <si>
    <t>Apr</t>
  </si>
  <si>
    <t>May</t>
  </si>
  <si>
    <t>June</t>
  </si>
  <si>
    <t xml:space="preserve">July </t>
  </si>
  <si>
    <t>Aug</t>
  </si>
  <si>
    <t>Sep</t>
  </si>
  <si>
    <t>Oct</t>
  </si>
  <si>
    <t>Nov</t>
  </si>
  <si>
    <t>N°</t>
  </si>
  <si>
    <t xml:space="preserve">Title  </t>
  </si>
  <si>
    <t>Category</t>
  </si>
  <si>
    <t>Lead</t>
  </si>
  <si>
    <t>Start</t>
  </si>
  <si>
    <t>End</t>
  </si>
  <si>
    <t>WP1</t>
  </si>
  <si>
    <t>Hybrid Multilinear Modelling</t>
  </si>
  <si>
    <t>Work package</t>
  </si>
  <si>
    <t>IWES</t>
  </si>
  <si>
    <t>T1.1</t>
  </si>
  <si>
    <t>Hybrid Implicit MTI Modeling</t>
  </si>
  <si>
    <t>Task</t>
  </si>
  <si>
    <t>T1.2</t>
  </si>
  <si>
    <t xml:space="preserve">Model Scalability </t>
  </si>
  <si>
    <t>HAW</t>
  </si>
  <si>
    <t xml:space="preserve">T1.3 </t>
  </si>
  <si>
    <t>System Analysis of Hybrid Implicit MTI Models</t>
  </si>
  <si>
    <t>T1.4</t>
  </si>
  <si>
    <t>MTI Toolbox Software Development</t>
  </si>
  <si>
    <t>D1.1</t>
  </si>
  <si>
    <t xml:space="preserve">Hybrid Multilinear Model Class and Minimal Format </t>
  </si>
  <si>
    <t>Deliverable</t>
  </si>
  <si>
    <t>PU</t>
  </si>
  <si>
    <t>Submitted</t>
  </si>
  <si>
    <t>D1.2</t>
  </si>
  <si>
    <t>Alpha Version of the Updated Multilinear MTI Toolbox</t>
  </si>
  <si>
    <t>CO</t>
  </si>
  <si>
    <t>D1.3</t>
  </si>
  <si>
    <t>Final Version of the Updated Multilinear MTI Toolbox incl. Documentation</t>
  </si>
  <si>
    <t>MS1.1</t>
  </si>
  <si>
    <t>Hybrid iMTI Decomposed Form</t>
  </si>
  <si>
    <t>Milestone</t>
  </si>
  <si>
    <t>Analytic Stability Assessment in MTI Form</t>
  </si>
  <si>
    <t>WP2</t>
  </si>
  <si>
    <t>Multilinear System Indentification</t>
  </si>
  <si>
    <t>T2.1</t>
  </si>
  <si>
    <t>Improved Multilinearization of Nonlinear Models</t>
  </si>
  <si>
    <t>T2.2</t>
  </si>
  <si>
    <t>Multilinear Grey Box System Identification</t>
  </si>
  <si>
    <t>T2.3</t>
  </si>
  <si>
    <t>Multilinear Black Box System Identification</t>
  </si>
  <si>
    <t>T2.4</t>
  </si>
  <si>
    <t xml:space="preserve">MTI Model Monitoring and Update </t>
  </si>
  <si>
    <t>D2.1</t>
  </si>
  <si>
    <t>Improved Multilinearization Algorithm</t>
  </si>
  <si>
    <t>D2.2</t>
  </si>
  <si>
    <t>Multilinear Grey Box System Identification Algorithm</t>
  </si>
  <si>
    <t>IWEs</t>
  </si>
  <si>
    <t>D2.3</t>
  </si>
  <si>
    <t>Multilinear Black Box System Identification Algorithm</t>
  </si>
  <si>
    <t>D2.4</t>
  </si>
  <si>
    <t>MTI Monitoring and Update Algorithm</t>
  </si>
  <si>
    <t>MS2.1</t>
  </si>
  <si>
    <t xml:space="preserve"> System Identification in Decomposed MTI Form</t>
  </si>
  <si>
    <t>WP3</t>
  </si>
  <si>
    <t>Power System Components</t>
  </si>
  <si>
    <t>eRoots</t>
  </si>
  <si>
    <t>T3.1</t>
  </si>
  <si>
    <t>Identification of system components and non-linearities</t>
  </si>
  <si>
    <t>T3.2</t>
  </si>
  <si>
    <t>Conventional power plants and generators</t>
  </si>
  <si>
    <t>UPC</t>
  </si>
  <si>
    <t>T3.3</t>
  </si>
  <si>
    <t>Power electronics-based generation</t>
  </si>
  <si>
    <t>T3.4</t>
  </si>
  <si>
    <t>Loads</t>
  </si>
  <si>
    <t>T3.5</t>
  </si>
  <si>
    <t>HVDC, FACTS, and storage</t>
  </si>
  <si>
    <t>T3.6</t>
  </si>
  <si>
    <t>Branches</t>
  </si>
  <si>
    <t>D3.1</t>
  </si>
  <si>
    <t>Report on identified non-linearities and saturations</t>
  </si>
  <si>
    <t>PI</t>
  </si>
  <si>
    <t>D3.2</t>
  </si>
  <si>
    <t>Generation multilinear models and validation</t>
  </si>
  <si>
    <t>D3.3</t>
  </si>
  <si>
    <t>Loads, branches, storage, FACTS and HVDC multilinear models and validation</t>
  </si>
  <si>
    <t>UM</t>
  </si>
  <si>
    <t>MS3.1</t>
  </si>
  <si>
    <t>Power System Component Models Completed</t>
  </si>
  <si>
    <t>WP4</t>
  </si>
  <si>
    <t>TenSyGrid Toolbox Development</t>
  </si>
  <si>
    <t>T4.1</t>
  </si>
  <si>
    <t xml:space="preserve">Identification of Use-cases </t>
  </si>
  <si>
    <t>T4.2</t>
  </si>
  <si>
    <t xml:space="preserve">Multilinear tools for power system stability analysis </t>
  </si>
  <si>
    <t>T4.3</t>
  </si>
  <si>
    <t>Toolbox framework development and implementation</t>
  </si>
  <si>
    <t>T4.4</t>
  </si>
  <si>
    <t>Network analysis applications</t>
  </si>
  <si>
    <t>D4.1</t>
  </si>
  <si>
    <t>TenSyGrid Toolbox Applications Roadmap</t>
  </si>
  <si>
    <t>D4.2</t>
  </si>
  <si>
    <t>TenSyGrid Toolbox Framework</t>
  </si>
  <si>
    <t>D4.3</t>
  </si>
  <si>
    <t>TenSyGrid Toolbox Applications</t>
  </si>
  <si>
    <t>MS4.1</t>
  </si>
  <si>
    <t>Completed  TenSyGrid Toolbox Roadmap</t>
  </si>
  <si>
    <t>MS4.2</t>
  </si>
  <si>
    <t>Completed  TenSyGrid Toolbox</t>
  </si>
  <si>
    <t>WP5</t>
  </si>
  <si>
    <t>Demonstration and Commercial Feasibility</t>
  </si>
  <si>
    <t>T5.1</t>
  </si>
  <si>
    <t>TenSyGrid Toolbox Commercial Software Integration</t>
  </si>
  <si>
    <t>T5.2</t>
  </si>
  <si>
    <t>Mid-Size Network Model</t>
  </si>
  <si>
    <t>T5.3</t>
  </si>
  <si>
    <t>Large-Scale Network Model</t>
  </si>
  <si>
    <t>T5.4</t>
  </si>
  <si>
    <t>Maltese Electrical Network Simulation Case-study</t>
  </si>
  <si>
    <t>T5.5</t>
  </si>
  <si>
    <t>Malta Feasibility Study Towards 100% Renewables</t>
  </si>
  <si>
    <t>D5.1</t>
  </si>
  <si>
    <t xml:space="preserve">Evaluation of TenSyGrid Toolbox Functionalities with test Models </t>
  </si>
  <si>
    <t>D5.2</t>
  </si>
  <si>
    <t>Testin with Real-World Examples</t>
  </si>
  <si>
    <t>D5.3</t>
  </si>
  <si>
    <t>Malta feasibility study towards 100% renewables penetration</t>
  </si>
  <si>
    <t>MS5.1</t>
  </si>
  <si>
    <t>Benchmarking of Toolset</t>
  </si>
  <si>
    <t>MS5.2</t>
  </si>
  <si>
    <t>Improvement in stability analysis for Real-world case</t>
  </si>
  <si>
    <t>WP6</t>
  </si>
  <si>
    <t>Reporting and Knowledge Community</t>
  </si>
  <si>
    <t>T6.1</t>
  </si>
  <si>
    <t>Reporting</t>
  </si>
  <si>
    <t>T6.2</t>
  </si>
  <si>
    <t xml:space="preserve">Formative Evaluation of Project </t>
  </si>
  <si>
    <t>T6.3</t>
  </si>
  <si>
    <t>Contribution to Other Knowledge Community Activities</t>
  </si>
  <si>
    <t>D6.1</t>
  </si>
  <si>
    <t>First Annual Report</t>
  </si>
  <si>
    <t>All</t>
  </si>
  <si>
    <t>D6.2</t>
  </si>
  <si>
    <t>Second Annual Report</t>
  </si>
  <si>
    <t>D6.3</t>
  </si>
  <si>
    <t>Final Report</t>
  </si>
  <si>
    <t>D6.4</t>
  </si>
  <si>
    <t>Project Summary</t>
  </si>
  <si>
    <t>WP7</t>
  </si>
  <si>
    <t>Management and Dissemination</t>
  </si>
  <si>
    <t>T7.1</t>
  </si>
  <si>
    <t>Project Management and Administration</t>
  </si>
  <si>
    <t>T7.2</t>
  </si>
  <si>
    <t>Data Management</t>
  </si>
  <si>
    <t>T7.3</t>
  </si>
  <si>
    <t>Results Dissemination, Communication, and Exploitation</t>
  </si>
  <si>
    <t>D7.1</t>
  </si>
  <si>
    <t xml:space="preserve">Project Website </t>
  </si>
  <si>
    <t>D7.2</t>
  </si>
  <si>
    <t xml:space="preserve">Plan for Exploitation and Dissemination of Results </t>
  </si>
  <si>
    <t>Legend</t>
  </si>
  <si>
    <t>Work Package</t>
  </si>
  <si>
    <t>M</t>
  </si>
  <si>
    <t>D</t>
  </si>
  <si>
    <t>T</t>
  </si>
  <si>
    <t>W</t>
  </si>
  <si>
    <t>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</si>
</sst>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n">
        <color rgb="FF000000"/>
      </left>
      <right style="thick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FF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/>
    </xf>
    <xf numFmtId="49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10" xfId="0" applyFill="1" applyBorder="1" applyAlignment="1">
      <alignment vertical="center"/>
    </xf>
    <xf numFmtId="0" fontId="0" fillId="2" borderId="8" xfId="0" applyFill="1" applyBorder="1"/>
    <xf numFmtId="0" fontId="0" fillId="0" borderId="0" xfId="0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0" fillId="2" borderId="12" xfId="0" applyFill="1" applyBorder="1"/>
    <xf numFmtId="49" fontId="0" fillId="5" borderId="7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vertical="center"/>
    </xf>
    <xf numFmtId="49" fontId="0" fillId="5" borderId="6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3" xfId="0" applyFill="1" applyBorder="1" applyAlignment="1">
      <alignment horizontal="left"/>
    </xf>
    <xf numFmtId="0" fontId="0" fillId="5" borderId="5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49" fontId="0" fillId="5" borderId="11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5" xfId="0" applyFill="1" applyBorder="1"/>
    <xf numFmtId="0" fontId="0" fillId="5" borderId="8" xfId="0" applyFill="1" applyBorder="1"/>
    <xf numFmtId="49" fontId="4" fillId="5" borderId="6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49" fontId="4" fillId="5" borderId="7" xfId="0" applyNumberFormat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5" fillId="2" borderId="14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0" fillId="5" borderId="0" xfId="0" applyFill="1"/>
    <xf numFmtId="0" fontId="0" fillId="5" borderId="4" xfId="0" applyFill="1" applyBorder="1"/>
    <xf numFmtId="0" fontId="0" fillId="5" borderId="9" xfId="0" applyFill="1" applyBorder="1"/>
    <xf numFmtId="0" fontId="7" fillId="2" borderId="15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" fillId="2" borderId="23" xfId="0" applyFont="1" applyFill="1" applyBorder="1"/>
    <xf numFmtId="0" fontId="7" fillId="5" borderId="24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left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left"/>
    </xf>
    <xf numFmtId="0" fontId="7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ufmann, Christoph" id="{CD378D62-D936-45E8-BE37-FD398314D097}" userId="S::christoph.kaufmann@iwes.fraunhofer.de::ce3bc45b-096b-4d07-8069-ce8d164cdb0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2" dT="2024-03-14T13:21:56.00" personId="{CD378D62-D936-45E8-BE37-FD398314D097}" id="{62ADA696-EC8A-43CB-8B81-18FB7D546B42}">
    <text>D3.1 Requirements for MTI Models / Most critical nonlinearities --&gt; input for WP1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B3A7-74BA-4C39-A5B4-54D7D498AACC}">
  <dimension ref="A1:AV85"/>
  <sheetViews>
    <sheetView tabSelected="1" topLeftCell="B1" zoomScale="130" zoomScaleNormal="130" workbookViewId="0">
      <pane xSplit="6" ySplit="4" topLeftCell="H5" activePane="bottomRight" state="frozen"/>
      <selection pane="bottomRight" activeCell="AE41" sqref="AE41"/>
      <selection pane="bottomLeft" activeCell="B5" sqref="B5"/>
      <selection pane="topRight" activeCell="H1" sqref="H1"/>
    </sheetView>
  </sheetViews>
  <sheetFormatPr defaultColWidth="9.28515625" defaultRowHeight="14.45" outlineLevelRow="2" outlineLevelCol="1"/>
  <cols>
    <col min="1" max="1" width="0.7109375" style="2" customWidth="1"/>
    <col min="2" max="2" width="6.28515625" style="1" bestFit="1" customWidth="1"/>
    <col min="3" max="3" width="56.7109375" style="2" customWidth="1"/>
    <col min="4" max="4" width="12.7109375" style="2" bestFit="1" customWidth="1" outlineLevel="1"/>
    <col min="5" max="5" width="4.7109375" style="2" customWidth="1" outlineLevel="1"/>
    <col min="6" max="6" width="3.28515625" style="1" customWidth="1" outlineLevel="1"/>
    <col min="7" max="7" width="3.7109375" style="1" customWidth="1" outlineLevel="1"/>
    <col min="8" max="16" width="2.7109375" style="1" customWidth="1"/>
    <col min="17" max="18" width="3.42578125" style="1" customWidth="1"/>
    <col min="19" max="19" width="3.28515625" style="1" customWidth="1"/>
    <col min="20" max="20" width="3.42578125" style="1" customWidth="1"/>
    <col min="21" max="21" width="3.28515625" style="1" customWidth="1"/>
    <col min="22" max="22" width="3" style="1" customWidth="1"/>
    <col min="23" max="23" width="3.140625" style="1" customWidth="1"/>
    <col min="24" max="24" width="3.28515625" style="1" customWidth="1"/>
    <col min="25" max="25" width="3.42578125" style="1" customWidth="1"/>
    <col min="26" max="26" width="3" style="1" customWidth="1"/>
    <col min="27" max="28" width="3.28515625" style="1" customWidth="1"/>
    <col min="29" max="29" width="3" style="1" customWidth="1"/>
    <col min="30" max="30" width="3.28515625" style="1" customWidth="1"/>
    <col min="31" max="31" width="3" style="1" customWidth="1"/>
    <col min="32" max="32" width="3.140625" style="1" customWidth="1"/>
    <col min="33" max="35" width="3" style="1" customWidth="1"/>
    <col min="36" max="37" width="3.28515625" style="1" customWidth="1"/>
    <col min="38" max="38" width="3" style="1" customWidth="1"/>
    <col min="39" max="39" width="3.28515625" style="1" customWidth="1"/>
    <col min="40" max="41" width="3.140625" style="1" customWidth="1"/>
    <col min="42" max="42" width="3.42578125" style="1" customWidth="1"/>
    <col min="43" max="43" width="3.140625" style="1" customWidth="1"/>
    <col min="44" max="44" width="0.7109375" style="2" customWidth="1"/>
    <col min="45" max="46" width="13.42578125" style="3" bestFit="1" customWidth="1"/>
    <col min="47" max="47" width="1.42578125" style="2" customWidth="1"/>
    <col min="48" max="16384" width="9.28515625" style="2"/>
  </cols>
  <sheetData>
    <row r="1" spans="2:48" ht="3.75" customHeight="1">
      <c r="G1" s="72"/>
      <c r="T1" s="72"/>
      <c r="AF1" s="72"/>
    </row>
    <row r="2" spans="2:48">
      <c r="G2" s="72"/>
      <c r="H2" s="73">
        <v>24</v>
      </c>
      <c r="I2" s="85">
        <v>2025</v>
      </c>
      <c r="J2" s="85"/>
      <c r="K2" s="85"/>
      <c r="L2" s="85"/>
      <c r="M2" s="85"/>
      <c r="N2" s="85"/>
      <c r="O2" s="85"/>
      <c r="P2" s="85"/>
      <c r="Q2" s="85"/>
      <c r="R2" s="85"/>
      <c r="S2" s="85"/>
      <c r="T2" s="72"/>
      <c r="U2" s="85">
        <v>2026</v>
      </c>
      <c r="V2" s="85"/>
      <c r="W2" s="85"/>
      <c r="X2" s="85"/>
      <c r="Y2" s="85"/>
      <c r="Z2" s="85"/>
      <c r="AA2" s="85"/>
      <c r="AB2" s="85"/>
      <c r="AC2" s="85"/>
      <c r="AD2" s="85"/>
      <c r="AE2" s="85"/>
      <c r="AF2" s="86"/>
      <c r="AG2" s="85">
        <v>2027</v>
      </c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35"/>
      <c r="AS2" s="76" t="s">
        <v>0</v>
      </c>
      <c r="AT2" s="3" t="s">
        <v>1</v>
      </c>
      <c r="AV2" s="2" t="s">
        <v>2</v>
      </c>
    </row>
    <row r="3" spans="2:48" s="32" customFormat="1" ht="12">
      <c r="B3" s="33"/>
      <c r="F3" s="33"/>
      <c r="G3" s="82"/>
      <c r="H3" s="81" t="s">
        <v>3</v>
      </c>
      <c r="I3" s="80" t="s">
        <v>4</v>
      </c>
      <c r="J3" s="80" t="s">
        <v>5</v>
      </c>
      <c r="K3" s="80" t="s">
        <v>6</v>
      </c>
      <c r="L3" s="80" t="s">
        <v>7</v>
      </c>
      <c r="M3" s="80" t="s">
        <v>8</v>
      </c>
      <c r="N3" s="80" t="s">
        <v>9</v>
      </c>
      <c r="O3" s="80" t="s">
        <v>10</v>
      </c>
      <c r="P3" s="80" t="s">
        <v>11</v>
      </c>
      <c r="Q3" s="80" t="s">
        <v>12</v>
      </c>
      <c r="R3" s="80" t="s">
        <v>13</v>
      </c>
      <c r="S3" s="80" t="s">
        <v>14</v>
      </c>
      <c r="T3" s="81" t="s">
        <v>3</v>
      </c>
      <c r="U3" s="80" t="s">
        <v>4</v>
      </c>
      <c r="V3" s="80" t="s">
        <v>5</v>
      </c>
      <c r="W3" s="80" t="s">
        <v>6</v>
      </c>
      <c r="X3" s="80" t="s">
        <v>7</v>
      </c>
      <c r="Y3" s="80" t="s">
        <v>8</v>
      </c>
      <c r="Z3" s="80" t="s">
        <v>9</v>
      </c>
      <c r="AA3" s="80" t="s">
        <v>10</v>
      </c>
      <c r="AB3" s="80" t="s">
        <v>11</v>
      </c>
      <c r="AC3" s="80" t="s">
        <v>12</v>
      </c>
      <c r="AD3" s="80" t="s">
        <v>13</v>
      </c>
      <c r="AE3" s="80" t="s">
        <v>14</v>
      </c>
      <c r="AF3" s="80" t="s">
        <v>3</v>
      </c>
      <c r="AG3" s="80" t="s">
        <v>4</v>
      </c>
      <c r="AH3" s="80" t="s">
        <v>5</v>
      </c>
      <c r="AI3" s="80" t="s">
        <v>6</v>
      </c>
      <c r="AJ3" s="80" t="s">
        <v>7</v>
      </c>
      <c r="AK3" s="80" t="s">
        <v>8</v>
      </c>
      <c r="AL3" s="80" t="s">
        <v>9</v>
      </c>
      <c r="AM3" s="80" t="s">
        <v>10</v>
      </c>
      <c r="AN3" s="80" t="s">
        <v>11</v>
      </c>
      <c r="AO3" s="80" t="s">
        <v>12</v>
      </c>
      <c r="AP3" s="80" t="s">
        <v>13</v>
      </c>
      <c r="AQ3" s="80" t="s">
        <v>14</v>
      </c>
      <c r="AS3" s="57"/>
      <c r="AT3" s="34"/>
    </row>
    <row r="4" spans="2:48" ht="43.15">
      <c r="B4" s="4" t="s">
        <v>15</v>
      </c>
      <c r="C4" s="5" t="s">
        <v>16</v>
      </c>
      <c r="D4" s="6" t="s">
        <v>17</v>
      </c>
      <c r="E4" s="6" t="s">
        <v>18</v>
      </c>
      <c r="F4" s="7" t="s">
        <v>19</v>
      </c>
      <c r="G4" s="7" t="s">
        <v>20</v>
      </c>
      <c r="H4" s="77">
        <v>1</v>
      </c>
      <c r="I4" s="77">
        <v>2</v>
      </c>
      <c r="J4" s="77">
        <v>3</v>
      </c>
      <c r="K4" s="77">
        <v>4</v>
      </c>
      <c r="L4" s="77">
        <v>5</v>
      </c>
      <c r="M4" s="77">
        <v>6</v>
      </c>
      <c r="N4" s="77">
        <v>7</v>
      </c>
      <c r="O4" s="77">
        <v>8</v>
      </c>
      <c r="P4" s="77">
        <v>9</v>
      </c>
      <c r="Q4" s="77">
        <v>10</v>
      </c>
      <c r="R4" s="78">
        <v>11</v>
      </c>
      <c r="S4" s="79">
        <v>12</v>
      </c>
      <c r="T4" s="71">
        <v>13</v>
      </c>
      <c r="U4" s="77">
        <v>14</v>
      </c>
      <c r="V4" s="77">
        <v>15</v>
      </c>
      <c r="W4" s="77">
        <v>16</v>
      </c>
      <c r="X4" s="77">
        <v>17</v>
      </c>
      <c r="Y4" s="77">
        <v>18</v>
      </c>
      <c r="Z4" s="77">
        <v>19</v>
      </c>
      <c r="AA4" s="77">
        <v>20</v>
      </c>
      <c r="AB4" s="77">
        <v>21</v>
      </c>
      <c r="AC4" s="77">
        <v>22</v>
      </c>
      <c r="AD4" s="77">
        <v>23</v>
      </c>
      <c r="AE4" s="69">
        <v>24</v>
      </c>
      <c r="AF4" s="71">
        <v>25</v>
      </c>
      <c r="AG4" s="77">
        <v>26</v>
      </c>
      <c r="AH4" s="77">
        <v>27</v>
      </c>
      <c r="AI4" s="77">
        <v>28</v>
      </c>
      <c r="AJ4" s="77">
        <v>29</v>
      </c>
      <c r="AK4" s="77">
        <v>30</v>
      </c>
      <c r="AL4" s="77">
        <v>31</v>
      </c>
      <c r="AM4" s="77">
        <v>32</v>
      </c>
      <c r="AN4" s="77">
        <v>33</v>
      </c>
      <c r="AO4" s="77">
        <v>34</v>
      </c>
      <c r="AP4" s="77">
        <v>35</v>
      </c>
      <c r="AQ4" s="69">
        <v>36</v>
      </c>
      <c r="AS4" s="58"/>
    </row>
    <row r="5" spans="2:48" ht="16.5" customHeight="1">
      <c r="B5" s="8" t="s">
        <v>21</v>
      </c>
      <c r="C5" s="9" t="s">
        <v>22</v>
      </c>
      <c r="D5" s="10" t="s">
        <v>23</v>
      </c>
      <c r="E5" s="10" t="s">
        <v>24</v>
      </c>
      <c r="F5" s="11">
        <f>MIN(F6:F14)</f>
        <v>1</v>
      </c>
      <c r="G5" s="11">
        <f>MAX(G6:G14)</f>
        <v>33</v>
      </c>
      <c r="H5" s="63" t="str">
        <f t="shared" ref="H5:Q6" si="0">IF(AND($D5=$D$76,$F5=H$4),2,IF(AND($D5=$D$75,$F5=H$4),1,""))</f>
        <v/>
      </c>
      <c r="I5" s="63" t="str">
        <f t="shared" si="0"/>
        <v/>
      </c>
      <c r="J5" s="63" t="str">
        <f t="shared" si="0"/>
        <v/>
      </c>
      <c r="K5" s="63" t="str">
        <f t="shared" si="0"/>
        <v/>
      </c>
      <c r="L5" s="63" t="str">
        <f t="shared" si="0"/>
        <v/>
      </c>
      <c r="M5" s="63" t="str">
        <f t="shared" si="0"/>
        <v/>
      </c>
      <c r="N5" s="63" t="str">
        <f t="shared" si="0"/>
        <v/>
      </c>
      <c r="O5" s="63" t="str">
        <f t="shared" si="0"/>
        <v/>
      </c>
      <c r="P5" s="63" t="str">
        <f t="shared" si="0"/>
        <v/>
      </c>
      <c r="Q5" s="63" t="str">
        <f t="shared" si="0"/>
        <v/>
      </c>
      <c r="R5" s="63" t="str">
        <f t="shared" ref="R5:AA6" si="1">IF(AND($D5=$D$76,$F5=R$4),2,IF(AND($D5=$D$75,$F5=R$4),1,""))</f>
        <v/>
      </c>
      <c r="S5" s="70" t="str">
        <f t="shared" si="1"/>
        <v/>
      </c>
      <c r="T5" s="65" t="str">
        <f t="shared" si="1"/>
        <v/>
      </c>
      <c r="U5" s="63" t="str">
        <f t="shared" si="1"/>
        <v/>
      </c>
      <c r="V5" s="63" t="str">
        <f t="shared" si="1"/>
        <v/>
      </c>
      <c r="W5" s="63" t="str">
        <f t="shared" si="1"/>
        <v/>
      </c>
      <c r="X5" s="63" t="str">
        <f t="shared" si="1"/>
        <v/>
      </c>
      <c r="Y5" s="63" t="str">
        <f t="shared" si="1"/>
        <v/>
      </c>
      <c r="Z5" s="63" t="str">
        <f t="shared" si="1"/>
        <v/>
      </c>
      <c r="AA5" s="63" t="str">
        <f t="shared" si="1"/>
        <v/>
      </c>
      <c r="AB5" s="63" t="str">
        <f t="shared" ref="AB5:AK6" si="2">IF(AND($D5=$D$76,$F5=AB$4),2,IF(AND($D5=$D$75,$F5=AB$4),1,""))</f>
        <v/>
      </c>
      <c r="AC5" s="63" t="str">
        <f t="shared" si="2"/>
        <v/>
      </c>
      <c r="AD5" s="63" t="str">
        <f t="shared" si="2"/>
        <v/>
      </c>
      <c r="AE5" s="64" t="str">
        <f t="shared" si="2"/>
        <v/>
      </c>
      <c r="AF5" s="65" t="str">
        <f t="shared" si="2"/>
        <v/>
      </c>
      <c r="AG5" s="63" t="str">
        <f t="shared" si="2"/>
        <v/>
      </c>
      <c r="AH5" s="63" t="str">
        <f t="shared" si="2"/>
        <v/>
      </c>
      <c r="AI5" s="63" t="str">
        <f t="shared" si="2"/>
        <v/>
      </c>
      <c r="AJ5" s="63" t="str">
        <f t="shared" si="2"/>
        <v/>
      </c>
      <c r="AK5" s="63" t="str">
        <f t="shared" si="2"/>
        <v/>
      </c>
      <c r="AL5" s="63" t="str">
        <f t="shared" ref="AL5:AQ6" si="3">IF(AND($D5=$D$76,$F5=AL$4),2,IF(AND($D5=$D$75,$F5=AL$4),1,""))</f>
        <v/>
      </c>
      <c r="AM5" s="63" t="str">
        <f t="shared" si="3"/>
        <v/>
      </c>
      <c r="AN5" s="63" t="str">
        <f t="shared" si="3"/>
        <v/>
      </c>
      <c r="AO5" s="63" t="str">
        <f t="shared" si="3"/>
        <v/>
      </c>
      <c r="AP5" s="63" t="str">
        <f t="shared" si="3"/>
        <v/>
      </c>
      <c r="AQ5" s="64" t="str">
        <f t="shared" si="3"/>
        <v/>
      </c>
      <c r="AS5" s="59"/>
      <c r="AT5" s="12"/>
    </row>
    <row r="6" spans="2:48" ht="16.5" customHeight="1" outlineLevel="1">
      <c r="B6" s="13" t="s">
        <v>25</v>
      </c>
      <c r="C6" s="14" t="s">
        <v>26</v>
      </c>
      <c r="D6" s="15" t="s">
        <v>27</v>
      </c>
      <c r="E6" s="15" t="s">
        <v>24</v>
      </c>
      <c r="F6" s="1">
        <v>1</v>
      </c>
      <c r="G6" s="1">
        <v>14</v>
      </c>
      <c r="H6" s="63" t="str">
        <f t="shared" si="0"/>
        <v/>
      </c>
      <c r="I6" s="63" t="str">
        <f t="shared" si="0"/>
        <v/>
      </c>
      <c r="J6" s="63" t="str">
        <f t="shared" si="0"/>
        <v/>
      </c>
      <c r="K6" s="63" t="str">
        <f t="shared" si="0"/>
        <v/>
      </c>
      <c r="L6" s="63" t="str">
        <f t="shared" si="0"/>
        <v/>
      </c>
      <c r="M6" s="63" t="str">
        <f t="shared" si="0"/>
        <v/>
      </c>
      <c r="N6" s="63" t="str">
        <f t="shared" si="0"/>
        <v/>
      </c>
      <c r="O6" s="63" t="str">
        <f t="shared" si="0"/>
        <v/>
      </c>
      <c r="P6" s="63" t="str">
        <f t="shared" si="0"/>
        <v/>
      </c>
      <c r="Q6" s="63" t="str">
        <f t="shared" si="0"/>
        <v/>
      </c>
      <c r="R6" s="63" t="str">
        <f t="shared" si="1"/>
        <v/>
      </c>
      <c r="S6" s="64" t="str">
        <f t="shared" si="1"/>
        <v/>
      </c>
      <c r="T6" s="65" t="str">
        <f t="shared" si="1"/>
        <v/>
      </c>
      <c r="U6" s="63" t="str">
        <f t="shared" si="1"/>
        <v/>
      </c>
      <c r="V6" s="63" t="str">
        <f t="shared" si="1"/>
        <v/>
      </c>
      <c r="W6" s="63" t="str">
        <f t="shared" si="1"/>
        <v/>
      </c>
      <c r="X6" s="63" t="str">
        <f t="shared" si="1"/>
        <v/>
      </c>
      <c r="Y6" s="63" t="str">
        <f t="shared" si="1"/>
        <v/>
      </c>
      <c r="Z6" s="63" t="str">
        <f t="shared" si="1"/>
        <v/>
      </c>
      <c r="AA6" s="63" t="str">
        <f t="shared" si="1"/>
        <v/>
      </c>
      <c r="AB6" s="63" t="str">
        <f t="shared" si="2"/>
        <v/>
      </c>
      <c r="AC6" s="63" t="str">
        <f t="shared" si="2"/>
        <v/>
      </c>
      <c r="AD6" s="63" t="str">
        <f t="shared" si="2"/>
        <v/>
      </c>
      <c r="AE6" s="64" t="str">
        <f t="shared" si="2"/>
        <v/>
      </c>
      <c r="AF6" s="65" t="str">
        <f t="shared" si="2"/>
        <v/>
      </c>
      <c r="AG6" s="63" t="str">
        <f t="shared" si="2"/>
        <v/>
      </c>
      <c r="AH6" s="63" t="str">
        <f t="shared" si="2"/>
        <v/>
      </c>
      <c r="AI6" s="63" t="str">
        <f t="shared" si="2"/>
        <v/>
      </c>
      <c r="AJ6" s="63" t="str">
        <f t="shared" si="2"/>
        <v/>
      </c>
      <c r="AK6" s="63" t="str">
        <f t="shared" si="2"/>
        <v/>
      </c>
      <c r="AL6" s="63" t="str">
        <f t="shared" si="3"/>
        <v/>
      </c>
      <c r="AM6" s="63" t="str">
        <f t="shared" si="3"/>
        <v/>
      </c>
      <c r="AN6" s="63" t="str">
        <f t="shared" si="3"/>
        <v/>
      </c>
      <c r="AO6" s="63" t="str">
        <f t="shared" si="3"/>
        <v/>
      </c>
      <c r="AP6" s="63" t="str">
        <f t="shared" si="3"/>
        <v/>
      </c>
      <c r="AQ6" s="64" t="str">
        <f t="shared" si="3"/>
        <v/>
      </c>
      <c r="AS6" s="58"/>
    </row>
    <row r="7" spans="2:48" ht="16.5" customHeight="1" outlineLevel="1">
      <c r="B7" s="13" t="s">
        <v>28</v>
      </c>
      <c r="C7" s="14" t="s">
        <v>29</v>
      </c>
      <c r="D7" s="15" t="s">
        <v>27</v>
      </c>
      <c r="E7" s="15" t="s">
        <v>30</v>
      </c>
      <c r="F7" s="1">
        <v>3</v>
      </c>
      <c r="G7" s="1">
        <v>14</v>
      </c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4"/>
      <c r="T7" s="65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  <c r="AF7" s="65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AS7" s="58"/>
    </row>
    <row r="8" spans="2:48" ht="16.5" customHeight="1" outlineLevel="1">
      <c r="B8" s="13" t="s">
        <v>31</v>
      </c>
      <c r="C8" s="14" t="s">
        <v>32</v>
      </c>
      <c r="D8" s="15" t="s">
        <v>27</v>
      </c>
      <c r="E8" s="15" t="s">
        <v>24</v>
      </c>
      <c r="F8" s="1">
        <v>6</v>
      </c>
      <c r="G8" s="1">
        <v>28</v>
      </c>
      <c r="H8" s="63" t="str">
        <f t="shared" ref="H8:Q17" si="4">IF(AND($D8=$D$76,$F8=H$4),2,IF(AND($D8=$D$75,$F8=H$4),1,""))</f>
        <v/>
      </c>
      <c r="I8" s="63" t="str">
        <f t="shared" si="4"/>
        <v/>
      </c>
      <c r="J8" s="63" t="str">
        <f t="shared" si="4"/>
        <v/>
      </c>
      <c r="K8" s="63" t="str">
        <f t="shared" si="4"/>
        <v/>
      </c>
      <c r="L8" s="63" t="str">
        <f t="shared" si="4"/>
        <v/>
      </c>
      <c r="M8" s="63" t="str">
        <f t="shared" si="4"/>
        <v/>
      </c>
      <c r="N8" s="63" t="str">
        <f t="shared" si="4"/>
        <v/>
      </c>
      <c r="O8" s="63" t="str">
        <f t="shared" si="4"/>
        <v/>
      </c>
      <c r="P8" s="63" t="str">
        <f t="shared" si="4"/>
        <v/>
      </c>
      <c r="Q8" s="63" t="str">
        <f t="shared" si="4"/>
        <v/>
      </c>
      <c r="R8" s="63" t="str">
        <f t="shared" ref="R8:AA17" si="5">IF(AND($D8=$D$76,$F8=R$4),2,IF(AND($D8=$D$75,$F8=R$4),1,""))</f>
        <v/>
      </c>
      <c r="S8" s="64" t="str">
        <f t="shared" si="5"/>
        <v/>
      </c>
      <c r="T8" s="65" t="str">
        <f t="shared" si="5"/>
        <v/>
      </c>
      <c r="U8" s="63" t="str">
        <f t="shared" si="5"/>
        <v/>
      </c>
      <c r="V8" s="63" t="str">
        <f t="shared" si="5"/>
        <v/>
      </c>
      <c r="W8" s="63" t="str">
        <f t="shared" si="5"/>
        <v/>
      </c>
      <c r="X8" s="63" t="str">
        <f t="shared" si="5"/>
        <v/>
      </c>
      <c r="Y8" s="63" t="str">
        <f t="shared" si="5"/>
        <v/>
      </c>
      <c r="Z8" s="63" t="str">
        <f t="shared" si="5"/>
        <v/>
      </c>
      <c r="AA8" s="63" t="str">
        <f t="shared" si="5"/>
        <v/>
      </c>
      <c r="AB8" s="63" t="str">
        <f t="shared" ref="AB8:AK17" si="6">IF(AND($D8=$D$76,$F8=AB$4),2,IF(AND($D8=$D$75,$F8=AB$4),1,""))</f>
        <v/>
      </c>
      <c r="AC8" s="63" t="str">
        <f t="shared" si="6"/>
        <v/>
      </c>
      <c r="AD8" s="63" t="str">
        <f t="shared" si="6"/>
        <v/>
      </c>
      <c r="AE8" s="64" t="str">
        <f t="shared" si="6"/>
        <v/>
      </c>
      <c r="AF8" s="65" t="str">
        <f t="shared" si="6"/>
        <v/>
      </c>
      <c r="AG8" s="63" t="str">
        <f t="shared" si="6"/>
        <v/>
      </c>
      <c r="AH8" s="63" t="str">
        <f t="shared" si="6"/>
        <v/>
      </c>
      <c r="AI8" s="63" t="str">
        <f t="shared" si="6"/>
        <v/>
      </c>
      <c r="AJ8" s="63" t="str">
        <f t="shared" si="6"/>
        <v/>
      </c>
      <c r="AK8" s="63" t="str">
        <f t="shared" si="6"/>
        <v/>
      </c>
      <c r="AL8" s="63" t="str">
        <f t="shared" ref="AL8:AQ17" si="7">IF(AND($D8=$D$76,$F8=AL$4),2,IF(AND($D8=$D$75,$F8=AL$4),1,""))</f>
        <v/>
      </c>
      <c r="AM8" s="63" t="str">
        <f t="shared" si="7"/>
        <v/>
      </c>
      <c r="AN8" s="63" t="str">
        <f t="shared" si="7"/>
        <v/>
      </c>
      <c r="AO8" s="63" t="str">
        <f t="shared" si="7"/>
        <v/>
      </c>
      <c r="AP8" s="63" t="str">
        <f t="shared" si="7"/>
        <v/>
      </c>
      <c r="AQ8" s="64" t="str">
        <f t="shared" si="7"/>
        <v/>
      </c>
      <c r="AS8" s="58"/>
    </row>
    <row r="9" spans="2:48" ht="16.5" customHeight="1" outlineLevel="1">
      <c r="B9" s="13" t="s">
        <v>33</v>
      </c>
      <c r="C9" s="21" t="s">
        <v>34</v>
      </c>
      <c r="D9" s="15" t="s">
        <v>27</v>
      </c>
      <c r="E9" s="15" t="s">
        <v>30</v>
      </c>
      <c r="F9" s="1">
        <v>3</v>
      </c>
      <c r="G9" s="1">
        <v>33</v>
      </c>
      <c r="H9" s="63" t="str">
        <f t="shared" si="4"/>
        <v/>
      </c>
      <c r="I9" s="63" t="str">
        <f t="shared" si="4"/>
        <v/>
      </c>
      <c r="J9" s="63" t="str">
        <f t="shared" si="4"/>
        <v/>
      </c>
      <c r="K9" s="63" t="str">
        <f t="shared" si="4"/>
        <v/>
      </c>
      <c r="L9" s="63" t="str">
        <f t="shared" si="4"/>
        <v/>
      </c>
      <c r="M9" s="63" t="str">
        <f t="shared" si="4"/>
        <v/>
      </c>
      <c r="N9" s="63" t="str">
        <f t="shared" si="4"/>
        <v/>
      </c>
      <c r="O9" s="63" t="str">
        <f t="shared" si="4"/>
        <v/>
      </c>
      <c r="P9" s="63" t="str">
        <f t="shared" si="4"/>
        <v/>
      </c>
      <c r="Q9" s="63" t="str">
        <f t="shared" si="4"/>
        <v/>
      </c>
      <c r="R9" s="63" t="str">
        <f t="shared" si="5"/>
        <v/>
      </c>
      <c r="S9" s="64" t="str">
        <f t="shared" si="5"/>
        <v/>
      </c>
      <c r="T9" s="65" t="str">
        <f t="shared" si="5"/>
        <v/>
      </c>
      <c r="U9" s="63" t="str">
        <f t="shared" si="5"/>
        <v/>
      </c>
      <c r="V9" s="63" t="str">
        <f t="shared" si="5"/>
        <v/>
      </c>
      <c r="W9" s="63" t="str">
        <f t="shared" si="5"/>
        <v/>
      </c>
      <c r="X9" s="63" t="str">
        <f t="shared" si="5"/>
        <v/>
      </c>
      <c r="Y9" s="63" t="str">
        <f t="shared" si="5"/>
        <v/>
      </c>
      <c r="Z9" s="63" t="str">
        <f t="shared" si="5"/>
        <v/>
      </c>
      <c r="AA9" s="63" t="str">
        <f t="shared" si="5"/>
        <v/>
      </c>
      <c r="AB9" s="63" t="str">
        <f t="shared" si="6"/>
        <v/>
      </c>
      <c r="AC9" s="63" t="str">
        <f t="shared" si="6"/>
        <v/>
      </c>
      <c r="AD9" s="63" t="str">
        <f t="shared" si="6"/>
        <v/>
      </c>
      <c r="AE9" s="64" t="str">
        <f t="shared" si="6"/>
        <v/>
      </c>
      <c r="AF9" s="65" t="str">
        <f t="shared" si="6"/>
        <v/>
      </c>
      <c r="AG9" s="63" t="str">
        <f t="shared" si="6"/>
        <v/>
      </c>
      <c r="AH9" s="63" t="str">
        <f t="shared" si="6"/>
        <v/>
      </c>
      <c r="AI9" s="63" t="str">
        <f t="shared" si="6"/>
        <v/>
      </c>
      <c r="AJ9" s="63" t="str">
        <f t="shared" si="6"/>
        <v/>
      </c>
      <c r="AK9" s="63" t="str">
        <f t="shared" si="6"/>
        <v/>
      </c>
      <c r="AL9" s="63" t="str">
        <f t="shared" si="7"/>
        <v/>
      </c>
      <c r="AM9" s="63" t="str">
        <f t="shared" si="7"/>
        <v/>
      </c>
      <c r="AN9" s="63" t="str">
        <f t="shared" si="7"/>
        <v/>
      </c>
      <c r="AO9" s="63" t="str">
        <f t="shared" si="7"/>
        <v/>
      </c>
      <c r="AP9" s="63" t="str">
        <f t="shared" si="7"/>
        <v/>
      </c>
      <c r="AQ9" s="64" t="str">
        <f t="shared" si="7"/>
        <v/>
      </c>
      <c r="AS9" s="58"/>
    </row>
    <row r="10" spans="2:48" ht="16.5" customHeight="1" outlineLevel="2">
      <c r="B10" s="38" t="s">
        <v>35</v>
      </c>
      <c r="C10" s="37" t="s">
        <v>36</v>
      </c>
      <c r="D10" s="15" t="s">
        <v>37</v>
      </c>
      <c r="E10" s="15" t="s">
        <v>24</v>
      </c>
      <c r="F10" s="1">
        <v>12</v>
      </c>
      <c r="G10" s="1">
        <f>F10</f>
        <v>12</v>
      </c>
      <c r="H10" s="66" t="str">
        <f t="shared" si="4"/>
        <v/>
      </c>
      <c r="I10" s="66" t="str">
        <f t="shared" si="4"/>
        <v/>
      </c>
      <c r="J10" s="66" t="str">
        <f t="shared" si="4"/>
        <v/>
      </c>
      <c r="K10" s="66" t="str">
        <f t="shared" si="4"/>
        <v/>
      </c>
      <c r="L10" s="66" t="str">
        <f t="shared" si="4"/>
        <v/>
      </c>
      <c r="M10" s="66" t="str">
        <f t="shared" si="4"/>
        <v/>
      </c>
      <c r="N10" s="66" t="str">
        <f t="shared" si="4"/>
        <v/>
      </c>
      <c r="O10" s="66" t="str">
        <f t="shared" si="4"/>
        <v/>
      </c>
      <c r="P10" s="66" t="str">
        <f t="shared" si="4"/>
        <v/>
      </c>
      <c r="Q10" s="66" t="str">
        <f t="shared" si="4"/>
        <v/>
      </c>
      <c r="R10" s="66" t="str">
        <f t="shared" si="5"/>
        <v/>
      </c>
      <c r="S10" s="67">
        <f t="shared" si="5"/>
        <v>2</v>
      </c>
      <c r="T10" s="68" t="str">
        <f t="shared" si="5"/>
        <v/>
      </c>
      <c r="U10" s="66" t="str">
        <f t="shared" si="5"/>
        <v/>
      </c>
      <c r="V10" s="66" t="str">
        <f t="shared" si="5"/>
        <v/>
      </c>
      <c r="W10" s="66" t="str">
        <f t="shared" si="5"/>
        <v/>
      </c>
      <c r="X10" s="66" t="str">
        <f t="shared" si="5"/>
        <v/>
      </c>
      <c r="Y10" s="66" t="str">
        <f t="shared" si="5"/>
        <v/>
      </c>
      <c r="Z10" s="66" t="str">
        <f t="shared" si="5"/>
        <v/>
      </c>
      <c r="AA10" s="66" t="str">
        <f t="shared" si="5"/>
        <v/>
      </c>
      <c r="AB10" s="66" t="str">
        <f t="shared" si="6"/>
        <v/>
      </c>
      <c r="AC10" s="66" t="str">
        <f t="shared" si="6"/>
        <v/>
      </c>
      <c r="AD10" s="66" t="str">
        <f t="shared" si="6"/>
        <v/>
      </c>
      <c r="AE10" s="67" t="str">
        <f t="shared" si="6"/>
        <v/>
      </c>
      <c r="AF10" s="68" t="str">
        <f t="shared" si="6"/>
        <v/>
      </c>
      <c r="AG10" s="66" t="str">
        <f t="shared" si="6"/>
        <v/>
      </c>
      <c r="AH10" s="66" t="str">
        <f t="shared" si="6"/>
        <v/>
      </c>
      <c r="AI10" s="66" t="str">
        <f t="shared" si="6"/>
        <v/>
      </c>
      <c r="AJ10" s="66" t="str">
        <f t="shared" si="6"/>
        <v/>
      </c>
      <c r="AK10" s="66" t="str">
        <f t="shared" si="6"/>
        <v/>
      </c>
      <c r="AL10" s="66" t="str">
        <f t="shared" si="7"/>
        <v/>
      </c>
      <c r="AM10" s="66" t="str">
        <f t="shared" si="7"/>
        <v/>
      </c>
      <c r="AN10" s="66" t="str">
        <f t="shared" si="7"/>
        <v/>
      </c>
      <c r="AO10" s="66" t="str">
        <f t="shared" si="7"/>
        <v/>
      </c>
      <c r="AP10" s="66" t="str">
        <f t="shared" si="7"/>
        <v/>
      </c>
      <c r="AQ10" s="67" t="str">
        <f t="shared" si="7"/>
        <v/>
      </c>
      <c r="AS10" s="42" t="s">
        <v>30</v>
      </c>
      <c r="AT10" s="3" t="s">
        <v>38</v>
      </c>
      <c r="AV10" s="2" t="s">
        <v>39</v>
      </c>
    </row>
    <row r="11" spans="2:48" ht="16.5" customHeight="1" outlineLevel="2">
      <c r="B11" s="36" t="s">
        <v>40</v>
      </c>
      <c r="C11" s="37" t="s">
        <v>41</v>
      </c>
      <c r="D11" s="15" t="s">
        <v>37</v>
      </c>
      <c r="E11" s="15" t="s">
        <v>30</v>
      </c>
      <c r="F11" s="1">
        <v>20</v>
      </c>
      <c r="G11" s="1">
        <f t="shared" ref="G11:G13" si="8">F11</f>
        <v>20</v>
      </c>
      <c r="H11" s="66" t="str">
        <f t="shared" si="4"/>
        <v/>
      </c>
      <c r="I11" s="66" t="str">
        <f t="shared" si="4"/>
        <v/>
      </c>
      <c r="J11" s="66" t="str">
        <f t="shared" si="4"/>
        <v/>
      </c>
      <c r="K11" s="66" t="str">
        <f t="shared" si="4"/>
        <v/>
      </c>
      <c r="L11" s="66" t="str">
        <f t="shared" si="4"/>
        <v/>
      </c>
      <c r="M11" s="66" t="str">
        <f t="shared" si="4"/>
        <v/>
      </c>
      <c r="N11" s="66" t="str">
        <f t="shared" si="4"/>
        <v/>
      </c>
      <c r="O11" s="66" t="str">
        <f t="shared" si="4"/>
        <v/>
      </c>
      <c r="P11" s="66" t="str">
        <f t="shared" si="4"/>
        <v/>
      </c>
      <c r="Q11" s="66" t="str">
        <f t="shared" si="4"/>
        <v/>
      </c>
      <c r="R11" s="66" t="str">
        <f t="shared" si="5"/>
        <v/>
      </c>
      <c r="S11" s="67" t="str">
        <f t="shared" si="5"/>
        <v/>
      </c>
      <c r="T11" s="68" t="str">
        <f t="shared" si="5"/>
        <v/>
      </c>
      <c r="U11" s="66" t="str">
        <f t="shared" si="5"/>
        <v/>
      </c>
      <c r="V11" s="66" t="str">
        <f t="shared" si="5"/>
        <v/>
      </c>
      <c r="W11" s="66" t="str">
        <f t="shared" si="5"/>
        <v/>
      </c>
      <c r="X11" s="66" t="str">
        <f t="shared" si="5"/>
        <v/>
      </c>
      <c r="Y11" s="66" t="str">
        <f t="shared" si="5"/>
        <v/>
      </c>
      <c r="Z11" s="66" t="str">
        <f t="shared" si="5"/>
        <v/>
      </c>
      <c r="AA11" s="66">
        <f t="shared" si="5"/>
        <v>2</v>
      </c>
      <c r="AB11" s="66" t="str">
        <f t="shared" si="6"/>
        <v/>
      </c>
      <c r="AC11" s="66" t="str">
        <f t="shared" si="6"/>
        <v/>
      </c>
      <c r="AD11" s="66" t="str">
        <f t="shared" si="6"/>
        <v/>
      </c>
      <c r="AE11" s="67" t="str">
        <f t="shared" si="6"/>
        <v/>
      </c>
      <c r="AF11" s="68" t="str">
        <f t="shared" si="6"/>
        <v/>
      </c>
      <c r="AG11" s="66" t="str">
        <f t="shared" si="6"/>
        <v/>
      </c>
      <c r="AH11" s="66" t="str">
        <f t="shared" si="6"/>
        <v/>
      </c>
      <c r="AI11" s="66" t="str">
        <f t="shared" si="6"/>
        <v/>
      </c>
      <c r="AJ11" s="66" t="str">
        <f t="shared" si="6"/>
        <v/>
      </c>
      <c r="AK11" s="66" t="str">
        <f t="shared" si="6"/>
        <v/>
      </c>
      <c r="AL11" s="66" t="str">
        <f t="shared" si="7"/>
        <v/>
      </c>
      <c r="AM11" s="66" t="str">
        <f t="shared" si="7"/>
        <v/>
      </c>
      <c r="AN11" s="66" t="str">
        <f t="shared" si="7"/>
        <v/>
      </c>
      <c r="AO11" s="66" t="str">
        <f t="shared" si="7"/>
        <v/>
      </c>
      <c r="AP11" s="66" t="str">
        <f t="shared" si="7"/>
        <v/>
      </c>
      <c r="AQ11" s="67" t="str">
        <f t="shared" si="7"/>
        <v/>
      </c>
      <c r="AS11" s="42" t="s">
        <v>30</v>
      </c>
      <c r="AT11" s="3" t="s">
        <v>42</v>
      </c>
    </row>
    <row r="12" spans="2:48" ht="16.5" customHeight="1" outlineLevel="2">
      <c r="B12" s="36" t="s">
        <v>43</v>
      </c>
      <c r="C12" s="37" t="s">
        <v>44</v>
      </c>
      <c r="D12" s="15" t="s">
        <v>37</v>
      </c>
      <c r="E12" s="15" t="s">
        <v>30</v>
      </c>
      <c r="F12" s="1">
        <v>33</v>
      </c>
      <c r="G12" s="1">
        <f t="shared" si="8"/>
        <v>33</v>
      </c>
      <c r="H12" s="66" t="str">
        <f t="shared" si="4"/>
        <v/>
      </c>
      <c r="I12" s="66" t="str">
        <f t="shared" si="4"/>
        <v/>
      </c>
      <c r="J12" s="66" t="str">
        <f t="shared" si="4"/>
        <v/>
      </c>
      <c r="K12" s="66" t="str">
        <f t="shared" si="4"/>
        <v/>
      </c>
      <c r="L12" s="66" t="str">
        <f t="shared" si="4"/>
        <v/>
      </c>
      <c r="M12" s="66" t="str">
        <f t="shared" si="4"/>
        <v/>
      </c>
      <c r="N12" s="66" t="str">
        <f t="shared" si="4"/>
        <v/>
      </c>
      <c r="O12" s="66" t="str">
        <f t="shared" si="4"/>
        <v/>
      </c>
      <c r="P12" s="66" t="str">
        <f t="shared" si="4"/>
        <v/>
      </c>
      <c r="Q12" s="66" t="str">
        <f t="shared" si="4"/>
        <v/>
      </c>
      <c r="R12" s="66" t="str">
        <f t="shared" si="5"/>
        <v/>
      </c>
      <c r="S12" s="67" t="str">
        <f t="shared" si="5"/>
        <v/>
      </c>
      <c r="T12" s="68" t="str">
        <f t="shared" si="5"/>
        <v/>
      </c>
      <c r="U12" s="66" t="str">
        <f t="shared" si="5"/>
        <v/>
      </c>
      <c r="V12" s="66" t="str">
        <f t="shared" si="5"/>
        <v/>
      </c>
      <c r="W12" s="66" t="str">
        <f t="shared" si="5"/>
        <v/>
      </c>
      <c r="X12" s="66" t="str">
        <f t="shared" si="5"/>
        <v/>
      </c>
      <c r="Y12" s="66" t="str">
        <f t="shared" si="5"/>
        <v/>
      </c>
      <c r="Z12" s="66" t="str">
        <f t="shared" si="5"/>
        <v/>
      </c>
      <c r="AA12" s="66" t="str">
        <f t="shared" si="5"/>
        <v/>
      </c>
      <c r="AB12" s="66" t="str">
        <f t="shared" si="6"/>
        <v/>
      </c>
      <c r="AC12" s="66" t="str">
        <f t="shared" si="6"/>
        <v/>
      </c>
      <c r="AD12" s="66" t="str">
        <f t="shared" si="6"/>
        <v/>
      </c>
      <c r="AE12" s="67" t="str">
        <f t="shared" si="6"/>
        <v/>
      </c>
      <c r="AF12" s="68" t="str">
        <f t="shared" si="6"/>
        <v/>
      </c>
      <c r="AG12" s="66" t="str">
        <f t="shared" si="6"/>
        <v/>
      </c>
      <c r="AH12" s="66" t="str">
        <f t="shared" si="6"/>
        <v/>
      </c>
      <c r="AI12" s="66" t="str">
        <f t="shared" si="6"/>
        <v/>
      </c>
      <c r="AJ12" s="66" t="str">
        <f t="shared" si="6"/>
        <v/>
      </c>
      <c r="AK12" s="66" t="str">
        <f t="shared" si="6"/>
        <v/>
      </c>
      <c r="AL12" s="66" t="str">
        <f t="shared" si="7"/>
        <v/>
      </c>
      <c r="AM12" s="66" t="str">
        <f t="shared" si="7"/>
        <v/>
      </c>
      <c r="AN12" s="66">
        <f t="shared" si="7"/>
        <v>2</v>
      </c>
      <c r="AO12" s="66" t="str">
        <f t="shared" si="7"/>
        <v/>
      </c>
      <c r="AP12" s="66" t="str">
        <f t="shared" si="7"/>
        <v/>
      </c>
      <c r="AQ12" s="67" t="str">
        <f t="shared" si="7"/>
        <v/>
      </c>
      <c r="AS12" s="42" t="s">
        <v>24</v>
      </c>
      <c r="AT12" s="3" t="s">
        <v>38</v>
      </c>
    </row>
    <row r="13" spans="2:48" ht="16.5" customHeight="1" outlineLevel="1">
      <c r="B13" s="36" t="s">
        <v>45</v>
      </c>
      <c r="C13" s="37" t="s">
        <v>46</v>
      </c>
      <c r="D13" s="15" t="s">
        <v>47</v>
      </c>
      <c r="E13" s="15" t="s">
        <v>24</v>
      </c>
      <c r="F13" s="1">
        <v>14</v>
      </c>
      <c r="G13" s="1">
        <f t="shared" si="8"/>
        <v>14</v>
      </c>
      <c r="H13" s="66" t="str">
        <f t="shared" si="4"/>
        <v/>
      </c>
      <c r="I13" s="66" t="str">
        <f t="shared" si="4"/>
        <v/>
      </c>
      <c r="J13" s="66" t="str">
        <f t="shared" si="4"/>
        <v/>
      </c>
      <c r="K13" s="66" t="str">
        <f t="shared" si="4"/>
        <v/>
      </c>
      <c r="L13" s="66" t="str">
        <f t="shared" si="4"/>
        <v/>
      </c>
      <c r="M13" s="66" t="str">
        <f t="shared" si="4"/>
        <v/>
      </c>
      <c r="N13" s="66" t="str">
        <f t="shared" si="4"/>
        <v/>
      </c>
      <c r="O13" s="66" t="str">
        <f t="shared" si="4"/>
        <v/>
      </c>
      <c r="P13" s="66" t="str">
        <f t="shared" si="4"/>
        <v/>
      </c>
      <c r="Q13" s="66" t="str">
        <f t="shared" si="4"/>
        <v/>
      </c>
      <c r="R13" s="66" t="str">
        <f t="shared" si="5"/>
        <v/>
      </c>
      <c r="S13" s="67" t="str">
        <f t="shared" si="5"/>
        <v/>
      </c>
      <c r="T13" s="68" t="str">
        <f t="shared" si="5"/>
        <v/>
      </c>
      <c r="U13" s="66">
        <f t="shared" si="5"/>
        <v>1</v>
      </c>
      <c r="V13" s="66" t="str">
        <f t="shared" si="5"/>
        <v/>
      </c>
      <c r="W13" s="66" t="str">
        <f t="shared" si="5"/>
        <v/>
      </c>
      <c r="X13" s="66" t="str">
        <f t="shared" si="5"/>
        <v/>
      </c>
      <c r="Y13" s="66" t="str">
        <f t="shared" si="5"/>
        <v/>
      </c>
      <c r="Z13" s="66" t="str">
        <f t="shared" si="5"/>
        <v/>
      </c>
      <c r="AA13" s="66" t="str">
        <f t="shared" si="5"/>
        <v/>
      </c>
      <c r="AB13" s="66" t="str">
        <f t="shared" si="6"/>
        <v/>
      </c>
      <c r="AC13" s="66" t="str">
        <f t="shared" si="6"/>
        <v/>
      </c>
      <c r="AD13" s="66" t="str">
        <f t="shared" si="6"/>
        <v/>
      </c>
      <c r="AE13" s="67" t="str">
        <f t="shared" si="6"/>
        <v/>
      </c>
      <c r="AF13" s="68" t="str">
        <f t="shared" si="6"/>
        <v/>
      </c>
      <c r="AG13" s="66" t="str">
        <f t="shared" si="6"/>
        <v/>
      </c>
      <c r="AH13" s="66" t="str">
        <f t="shared" si="6"/>
        <v/>
      </c>
      <c r="AI13" s="66" t="str">
        <f t="shared" si="6"/>
        <v/>
      </c>
      <c r="AJ13" s="66" t="str">
        <f t="shared" si="6"/>
        <v/>
      </c>
      <c r="AK13" s="66" t="str">
        <f t="shared" si="6"/>
        <v/>
      </c>
      <c r="AL13" s="66" t="str">
        <f t="shared" si="7"/>
        <v/>
      </c>
      <c r="AM13" s="66" t="str">
        <f t="shared" si="7"/>
        <v/>
      </c>
      <c r="AN13" s="66" t="str">
        <f t="shared" si="7"/>
        <v/>
      </c>
      <c r="AO13" s="66" t="str">
        <f t="shared" si="7"/>
        <v/>
      </c>
      <c r="AP13" s="66" t="str">
        <f t="shared" si="7"/>
        <v/>
      </c>
      <c r="AQ13" s="67" t="str">
        <f t="shared" si="7"/>
        <v/>
      </c>
      <c r="AS13" s="42" t="s">
        <v>30</v>
      </c>
      <c r="AV13" s="2" t="s">
        <v>39</v>
      </c>
    </row>
    <row r="14" spans="2:48" ht="16.5" customHeight="1" outlineLevel="1">
      <c r="B14" s="36" t="s">
        <v>45</v>
      </c>
      <c r="C14" s="37" t="s">
        <v>48</v>
      </c>
      <c r="D14" s="15" t="s">
        <v>47</v>
      </c>
      <c r="E14" s="15" t="s">
        <v>24</v>
      </c>
      <c r="F14" s="16">
        <v>24</v>
      </c>
      <c r="G14" s="16">
        <v>24</v>
      </c>
      <c r="H14" s="66" t="str">
        <f t="shared" si="4"/>
        <v/>
      </c>
      <c r="I14" s="66" t="str">
        <f t="shared" si="4"/>
        <v/>
      </c>
      <c r="J14" s="66" t="str">
        <f t="shared" si="4"/>
        <v/>
      </c>
      <c r="K14" s="66" t="str">
        <f t="shared" si="4"/>
        <v/>
      </c>
      <c r="L14" s="66" t="str">
        <f t="shared" si="4"/>
        <v/>
      </c>
      <c r="M14" s="66" t="str">
        <f t="shared" si="4"/>
        <v/>
      </c>
      <c r="N14" s="66" t="str">
        <f t="shared" si="4"/>
        <v/>
      </c>
      <c r="O14" s="66" t="str">
        <f t="shared" si="4"/>
        <v/>
      </c>
      <c r="P14" s="66" t="str">
        <f t="shared" si="4"/>
        <v/>
      </c>
      <c r="Q14" s="66" t="str">
        <f t="shared" si="4"/>
        <v/>
      </c>
      <c r="R14" s="66" t="str">
        <f t="shared" si="5"/>
        <v/>
      </c>
      <c r="S14" s="67" t="str">
        <f t="shared" si="5"/>
        <v/>
      </c>
      <c r="T14" s="68" t="str">
        <f t="shared" si="5"/>
        <v/>
      </c>
      <c r="U14" s="66" t="str">
        <f t="shared" si="5"/>
        <v/>
      </c>
      <c r="V14" s="66" t="str">
        <f t="shared" si="5"/>
        <v/>
      </c>
      <c r="W14" s="66" t="str">
        <f t="shared" si="5"/>
        <v/>
      </c>
      <c r="X14" s="66" t="str">
        <f t="shared" si="5"/>
        <v/>
      </c>
      <c r="Y14" s="66" t="str">
        <f t="shared" si="5"/>
        <v/>
      </c>
      <c r="Z14" s="66" t="str">
        <f t="shared" si="5"/>
        <v/>
      </c>
      <c r="AA14" s="66" t="str">
        <f t="shared" si="5"/>
        <v/>
      </c>
      <c r="AB14" s="66" t="str">
        <f t="shared" si="6"/>
        <v/>
      </c>
      <c r="AC14" s="66" t="str">
        <f t="shared" si="6"/>
        <v/>
      </c>
      <c r="AD14" s="66" t="str">
        <f t="shared" si="6"/>
        <v/>
      </c>
      <c r="AE14" s="67">
        <f t="shared" si="6"/>
        <v>1</v>
      </c>
      <c r="AF14" s="68" t="str">
        <f t="shared" si="6"/>
        <v/>
      </c>
      <c r="AG14" s="66" t="str">
        <f t="shared" si="6"/>
        <v/>
      </c>
      <c r="AH14" s="66" t="str">
        <f t="shared" si="6"/>
        <v/>
      </c>
      <c r="AI14" s="66" t="str">
        <f t="shared" si="6"/>
        <v/>
      </c>
      <c r="AJ14" s="66" t="str">
        <f t="shared" si="6"/>
        <v/>
      </c>
      <c r="AK14" s="66" t="str">
        <f t="shared" si="6"/>
        <v/>
      </c>
      <c r="AL14" s="66" t="str">
        <f t="shared" si="7"/>
        <v/>
      </c>
      <c r="AM14" s="66" t="str">
        <f t="shared" si="7"/>
        <v/>
      </c>
      <c r="AN14" s="66" t="str">
        <f t="shared" si="7"/>
        <v/>
      </c>
      <c r="AO14" s="66" t="str">
        <f t="shared" si="7"/>
        <v/>
      </c>
      <c r="AP14" s="66" t="str">
        <f t="shared" si="7"/>
        <v/>
      </c>
      <c r="AQ14" s="67" t="str">
        <f t="shared" si="7"/>
        <v/>
      </c>
      <c r="AS14" s="42" t="s">
        <v>30</v>
      </c>
    </row>
    <row r="15" spans="2:48" ht="16.5" customHeight="1">
      <c r="B15" s="17" t="s">
        <v>49</v>
      </c>
      <c r="C15" s="18" t="s">
        <v>50</v>
      </c>
      <c r="D15" s="19" t="s">
        <v>23</v>
      </c>
      <c r="E15" s="19" t="s">
        <v>30</v>
      </c>
      <c r="F15" s="20">
        <f>MIN(F16:F24)</f>
        <v>1</v>
      </c>
      <c r="G15" s="20">
        <f>MAX(G16:G24)</f>
        <v>30</v>
      </c>
      <c r="H15" s="63" t="str">
        <f t="shared" si="4"/>
        <v/>
      </c>
      <c r="I15" s="63" t="str">
        <f t="shared" si="4"/>
        <v/>
      </c>
      <c r="J15" s="63" t="str">
        <f t="shared" si="4"/>
        <v/>
      </c>
      <c r="K15" s="63" t="str">
        <f t="shared" si="4"/>
        <v/>
      </c>
      <c r="L15" s="63" t="str">
        <f t="shared" si="4"/>
        <v/>
      </c>
      <c r="M15" s="63" t="str">
        <f t="shared" si="4"/>
        <v/>
      </c>
      <c r="N15" s="63" t="str">
        <f t="shared" si="4"/>
        <v/>
      </c>
      <c r="O15" s="63" t="str">
        <f t="shared" si="4"/>
        <v/>
      </c>
      <c r="P15" s="63" t="str">
        <f t="shared" si="4"/>
        <v/>
      </c>
      <c r="Q15" s="63" t="str">
        <f t="shared" si="4"/>
        <v/>
      </c>
      <c r="R15" s="63" t="str">
        <f t="shared" si="5"/>
        <v/>
      </c>
      <c r="S15" s="64" t="str">
        <f t="shared" si="5"/>
        <v/>
      </c>
      <c r="T15" s="65" t="str">
        <f t="shared" si="5"/>
        <v/>
      </c>
      <c r="U15" s="63" t="str">
        <f t="shared" si="5"/>
        <v/>
      </c>
      <c r="V15" s="63" t="str">
        <f t="shared" si="5"/>
        <v/>
      </c>
      <c r="W15" s="63" t="str">
        <f t="shared" si="5"/>
        <v/>
      </c>
      <c r="X15" s="63" t="str">
        <f t="shared" si="5"/>
        <v/>
      </c>
      <c r="Y15" s="63" t="str">
        <f t="shared" si="5"/>
        <v/>
      </c>
      <c r="Z15" s="63" t="str">
        <f t="shared" si="5"/>
        <v/>
      </c>
      <c r="AA15" s="63" t="str">
        <f t="shared" si="5"/>
        <v/>
      </c>
      <c r="AB15" s="63" t="str">
        <f t="shared" si="6"/>
        <v/>
      </c>
      <c r="AC15" s="63" t="str">
        <f t="shared" si="6"/>
        <v/>
      </c>
      <c r="AD15" s="63" t="str">
        <f t="shared" si="6"/>
        <v/>
      </c>
      <c r="AE15" s="64" t="str">
        <f t="shared" si="6"/>
        <v/>
      </c>
      <c r="AF15" s="65" t="str">
        <f t="shared" si="6"/>
        <v/>
      </c>
      <c r="AG15" s="63" t="str">
        <f t="shared" si="6"/>
        <v/>
      </c>
      <c r="AH15" s="63" t="str">
        <f t="shared" si="6"/>
        <v/>
      </c>
      <c r="AI15" s="63" t="str">
        <f t="shared" si="6"/>
        <v/>
      </c>
      <c r="AJ15" s="63" t="str">
        <f t="shared" si="6"/>
        <v/>
      </c>
      <c r="AK15" s="63" t="str">
        <f t="shared" si="6"/>
        <v/>
      </c>
      <c r="AL15" s="63" t="str">
        <f t="shared" si="7"/>
        <v/>
      </c>
      <c r="AM15" s="63" t="str">
        <f t="shared" si="7"/>
        <v/>
      </c>
      <c r="AN15" s="63" t="str">
        <f t="shared" si="7"/>
        <v/>
      </c>
      <c r="AO15" s="63" t="str">
        <f t="shared" si="7"/>
        <v/>
      </c>
      <c r="AP15" s="63" t="str">
        <f t="shared" si="7"/>
        <v/>
      </c>
      <c r="AQ15" s="64" t="str">
        <f t="shared" si="7"/>
        <v/>
      </c>
      <c r="AS15" s="58"/>
    </row>
    <row r="16" spans="2:48" ht="16.5" customHeight="1" outlineLevel="1">
      <c r="B16" s="13" t="s">
        <v>51</v>
      </c>
      <c r="C16" s="14" t="s">
        <v>52</v>
      </c>
      <c r="D16" s="15" t="s">
        <v>27</v>
      </c>
      <c r="E16" s="15" t="s">
        <v>30</v>
      </c>
      <c r="F16" s="1">
        <v>1</v>
      </c>
      <c r="G16" s="1">
        <v>12</v>
      </c>
      <c r="H16" s="63" t="str">
        <f t="shared" si="4"/>
        <v/>
      </c>
      <c r="I16" s="63" t="str">
        <f t="shared" si="4"/>
        <v/>
      </c>
      <c r="J16" s="63" t="str">
        <f t="shared" si="4"/>
        <v/>
      </c>
      <c r="K16" s="63" t="str">
        <f t="shared" si="4"/>
        <v/>
      </c>
      <c r="L16" s="63" t="str">
        <f t="shared" si="4"/>
        <v/>
      </c>
      <c r="M16" s="63" t="str">
        <f t="shared" si="4"/>
        <v/>
      </c>
      <c r="N16" s="63" t="str">
        <f t="shared" si="4"/>
        <v/>
      </c>
      <c r="O16" s="63" t="str">
        <f t="shared" si="4"/>
        <v/>
      </c>
      <c r="P16" s="63" t="str">
        <f t="shared" si="4"/>
        <v/>
      </c>
      <c r="Q16" s="63" t="str">
        <f t="shared" si="4"/>
        <v/>
      </c>
      <c r="R16" s="63" t="str">
        <f t="shared" si="5"/>
        <v/>
      </c>
      <c r="S16" s="64" t="str">
        <f t="shared" si="5"/>
        <v/>
      </c>
      <c r="T16" s="65" t="str">
        <f t="shared" si="5"/>
        <v/>
      </c>
      <c r="U16" s="63" t="str">
        <f t="shared" si="5"/>
        <v/>
      </c>
      <c r="V16" s="63" t="str">
        <f t="shared" si="5"/>
        <v/>
      </c>
      <c r="W16" s="63" t="str">
        <f t="shared" si="5"/>
        <v/>
      </c>
      <c r="X16" s="63" t="str">
        <f t="shared" si="5"/>
        <v/>
      </c>
      <c r="Y16" s="63" t="str">
        <f t="shared" si="5"/>
        <v/>
      </c>
      <c r="Z16" s="63" t="str">
        <f t="shared" si="5"/>
        <v/>
      </c>
      <c r="AA16" s="63" t="str">
        <f t="shared" si="5"/>
        <v/>
      </c>
      <c r="AB16" s="63" t="str">
        <f t="shared" si="6"/>
        <v/>
      </c>
      <c r="AC16" s="63" t="str">
        <f t="shared" si="6"/>
        <v/>
      </c>
      <c r="AD16" s="63" t="str">
        <f t="shared" si="6"/>
        <v/>
      </c>
      <c r="AE16" s="64" t="str">
        <f t="shared" si="6"/>
        <v/>
      </c>
      <c r="AF16" s="65" t="str">
        <f t="shared" si="6"/>
        <v/>
      </c>
      <c r="AG16" s="63" t="str">
        <f t="shared" si="6"/>
        <v/>
      </c>
      <c r="AH16" s="63" t="str">
        <f t="shared" si="6"/>
        <v/>
      </c>
      <c r="AI16" s="63" t="str">
        <f t="shared" si="6"/>
        <v/>
      </c>
      <c r="AJ16" s="63" t="str">
        <f t="shared" si="6"/>
        <v/>
      </c>
      <c r="AK16" s="63" t="str">
        <f t="shared" si="6"/>
        <v/>
      </c>
      <c r="AL16" s="63" t="str">
        <f t="shared" si="7"/>
        <v/>
      </c>
      <c r="AM16" s="63" t="str">
        <f t="shared" si="7"/>
        <v/>
      </c>
      <c r="AN16" s="63" t="str">
        <f t="shared" si="7"/>
        <v/>
      </c>
      <c r="AO16" s="63" t="str">
        <f t="shared" si="7"/>
        <v/>
      </c>
      <c r="AP16" s="63" t="str">
        <f t="shared" si="7"/>
        <v/>
      </c>
      <c r="AQ16" s="64" t="str">
        <f t="shared" si="7"/>
        <v/>
      </c>
      <c r="AS16" s="58"/>
    </row>
    <row r="17" spans="1:48" ht="16.5" customHeight="1" outlineLevel="1">
      <c r="B17" s="13" t="s">
        <v>53</v>
      </c>
      <c r="C17" s="14" t="s">
        <v>54</v>
      </c>
      <c r="D17" s="15" t="s">
        <v>27</v>
      </c>
      <c r="E17" s="15" t="s">
        <v>30</v>
      </c>
      <c r="F17" s="1">
        <v>6</v>
      </c>
      <c r="G17" s="1">
        <v>24</v>
      </c>
      <c r="H17" s="63" t="str">
        <f t="shared" si="4"/>
        <v/>
      </c>
      <c r="I17" s="63" t="str">
        <f t="shared" si="4"/>
        <v/>
      </c>
      <c r="J17" s="63" t="str">
        <f t="shared" si="4"/>
        <v/>
      </c>
      <c r="K17" s="63" t="str">
        <f t="shared" si="4"/>
        <v/>
      </c>
      <c r="L17" s="63" t="str">
        <f t="shared" si="4"/>
        <v/>
      </c>
      <c r="M17" s="63" t="str">
        <f t="shared" si="4"/>
        <v/>
      </c>
      <c r="N17" s="63" t="str">
        <f t="shared" si="4"/>
        <v/>
      </c>
      <c r="O17" s="63" t="str">
        <f t="shared" si="4"/>
        <v/>
      </c>
      <c r="P17" s="63" t="str">
        <f t="shared" si="4"/>
        <v/>
      </c>
      <c r="Q17" s="63" t="str">
        <f t="shared" si="4"/>
        <v/>
      </c>
      <c r="R17" s="63" t="str">
        <f t="shared" si="5"/>
        <v/>
      </c>
      <c r="S17" s="64" t="str">
        <f t="shared" si="5"/>
        <v/>
      </c>
      <c r="T17" s="65" t="str">
        <f t="shared" si="5"/>
        <v/>
      </c>
      <c r="U17" s="63" t="str">
        <f t="shared" si="5"/>
        <v/>
      </c>
      <c r="V17" s="63" t="str">
        <f t="shared" si="5"/>
        <v/>
      </c>
      <c r="W17" s="63" t="str">
        <f t="shared" si="5"/>
        <v/>
      </c>
      <c r="X17" s="63" t="str">
        <f t="shared" si="5"/>
        <v/>
      </c>
      <c r="Y17" s="63" t="str">
        <f t="shared" si="5"/>
        <v/>
      </c>
      <c r="Z17" s="63" t="str">
        <f t="shared" si="5"/>
        <v/>
      </c>
      <c r="AA17" s="63" t="str">
        <f t="shared" si="5"/>
        <v/>
      </c>
      <c r="AB17" s="63" t="str">
        <f t="shared" si="6"/>
        <v/>
      </c>
      <c r="AC17" s="63" t="str">
        <f t="shared" si="6"/>
        <v/>
      </c>
      <c r="AD17" s="63" t="str">
        <f t="shared" si="6"/>
        <v/>
      </c>
      <c r="AE17" s="64" t="str">
        <f t="shared" si="6"/>
        <v/>
      </c>
      <c r="AF17" s="65" t="str">
        <f t="shared" si="6"/>
        <v/>
      </c>
      <c r="AG17" s="63" t="str">
        <f t="shared" si="6"/>
        <v/>
      </c>
      <c r="AH17" s="63" t="str">
        <f t="shared" si="6"/>
        <v/>
      </c>
      <c r="AI17" s="63" t="str">
        <f t="shared" si="6"/>
        <v/>
      </c>
      <c r="AJ17" s="63" t="str">
        <f t="shared" si="6"/>
        <v/>
      </c>
      <c r="AK17" s="63" t="str">
        <f t="shared" si="6"/>
        <v/>
      </c>
      <c r="AL17" s="63" t="str">
        <f t="shared" si="7"/>
        <v/>
      </c>
      <c r="AM17" s="63" t="str">
        <f t="shared" si="7"/>
        <v/>
      </c>
      <c r="AN17" s="63" t="str">
        <f t="shared" si="7"/>
        <v/>
      </c>
      <c r="AO17" s="63" t="str">
        <f t="shared" si="7"/>
        <v/>
      </c>
      <c r="AP17" s="63" t="str">
        <f t="shared" si="7"/>
        <v/>
      </c>
      <c r="AQ17" s="64" t="str">
        <f t="shared" si="7"/>
        <v/>
      </c>
      <c r="AS17" s="58"/>
    </row>
    <row r="18" spans="1:48" s="3" customFormat="1" ht="16.5" customHeight="1" outlineLevel="1">
      <c r="A18" s="2"/>
      <c r="B18" s="13" t="s">
        <v>55</v>
      </c>
      <c r="C18" s="14" t="s">
        <v>56</v>
      </c>
      <c r="D18" s="15" t="s">
        <v>27</v>
      </c>
      <c r="E18" s="15" t="s">
        <v>30</v>
      </c>
      <c r="F18" s="1">
        <v>9</v>
      </c>
      <c r="G18" s="1">
        <v>28</v>
      </c>
      <c r="H18" s="63" t="str">
        <f t="shared" ref="H18:Q27" si="9">IF(AND($D18=$D$76,$F18=H$4),2,IF(AND($D18=$D$75,$F18=H$4),1,""))</f>
        <v/>
      </c>
      <c r="I18" s="63" t="str">
        <f t="shared" si="9"/>
        <v/>
      </c>
      <c r="J18" s="63" t="str">
        <f t="shared" si="9"/>
        <v/>
      </c>
      <c r="K18" s="63" t="str">
        <f t="shared" si="9"/>
        <v/>
      </c>
      <c r="L18" s="63" t="str">
        <f t="shared" si="9"/>
        <v/>
      </c>
      <c r="M18" s="63" t="str">
        <f t="shared" si="9"/>
        <v/>
      </c>
      <c r="N18" s="63" t="str">
        <f t="shared" si="9"/>
        <v/>
      </c>
      <c r="O18" s="63" t="str">
        <f t="shared" si="9"/>
        <v/>
      </c>
      <c r="P18" s="63" t="str">
        <f t="shared" si="9"/>
        <v/>
      </c>
      <c r="Q18" s="63" t="str">
        <f t="shared" si="9"/>
        <v/>
      </c>
      <c r="R18" s="63" t="str">
        <f t="shared" ref="R18:AA27" si="10">IF(AND($D18=$D$76,$F18=R$4),2,IF(AND($D18=$D$75,$F18=R$4),1,""))</f>
        <v/>
      </c>
      <c r="S18" s="64" t="str">
        <f t="shared" si="10"/>
        <v/>
      </c>
      <c r="T18" s="65" t="str">
        <f t="shared" si="10"/>
        <v/>
      </c>
      <c r="U18" s="63" t="str">
        <f t="shared" si="10"/>
        <v/>
      </c>
      <c r="V18" s="63" t="str">
        <f t="shared" si="10"/>
        <v/>
      </c>
      <c r="W18" s="63" t="str">
        <f t="shared" si="10"/>
        <v/>
      </c>
      <c r="X18" s="63" t="str">
        <f t="shared" si="10"/>
        <v/>
      </c>
      <c r="Y18" s="63" t="str">
        <f t="shared" si="10"/>
        <v/>
      </c>
      <c r="Z18" s="63" t="str">
        <f t="shared" si="10"/>
        <v/>
      </c>
      <c r="AA18" s="63" t="str">
        <f t="shared" si="10"/>
        <v/>
      </c>
      <c r="AB18" s="63" t="str">
        <f t="shared" ref="AB18:AK27" si="11">IF(AND($D18=$D$76,$F18=AB$4),2,IF(AND($D18=$D$75,$F18=AB$4),1,""))</f>
        <v/>
      </c>
      <c r="AC18" s="63" t="str">
        <f t="shared" si="11"/>
        <v/>
      </c>
      <c r="AD18" s="63" t="str">
        <f t="shared" si="11"/>
        <v/>
      </c>
      <c r="AE18" s="64" t="str">
        <f t="shared" si="11"/>
        <v/>
      </c>
      <c r="AF18" s="65" t="str">
        <f t="shared" si="11"/>
        <v/>
      </c>
      <c r="AG18" s="63" t="str">
        <f t="shared" si="11"/>
        <v/>
      </c>
      <c r="AH18" s="63" t="str">
        <f t="shared" si="11"/>
        <v/>
      </c>
      <c r="AI18" s="63" t="str">
        <f t="shared" si="11"/>
        <v/>
      </c>
      <c r="AJ18" s="63" t="str">
        <f t="shared" si="11"/>
        <v/>
      </c>
      <c r="AK18" s="63" t="str">
        <f t="shared" si="11"/>
        <v/>
      </c>
      <c r="AL18" s="63" t="str">
        <f t="shared" ref="AL18:AQ27" si="12">IF(AND($D18=$D$76,$F18=AL$4),2,IF(AND($D18=$D$75,$F18=AL$4),1,""))</f>
        <v/>
      </c>
      <c r="AM18" s="63" t="str">
        <f t="shared" si="12"/>
        <v/>
      </c>
      <c r="AN18" s="63" t="str">
        <f t="shared" si="12"/>
        <v/>
      </c>
      <c r="AO18" s="63" t="str">
        <f t="shared" si="12"/>
        <v/>
      </c>
      <c r="AP18" s="63" t="str">
        <f t="shared" si="12"/>
        <v/>
      </c>
      <c r="AQ18" s="64" t="str">
        <f t="shared" si="12"/>
        <v/>
      </c>
      <c r="AR18" s="2"/>
      <c r="AS18" s="58"/>
      <c r="AU18" s="2"/>
    </row>
    <row r="19" spans="1:48" s="3" customFormat="1" ht="16.5" customHeight="1" outlineLevel="1">
      <c r="A19" s="2"/>
      <c r="B19" s="13" t="s">
        <v>57</v>
      </c>
      <c r="C19" s="14" t="s">
        <v>58</v>
      </c>
      <c r="D19" s="15" t="s">
        <v>27</v>
      </c>
      <c r="E19" s="15" t="s">
        <v>30</v>
      </c>
      <c r="F19" s="1">
        <v>6</v>
      </c>
      <c r="G19" s="1">
        <v>30</v>
      </c>
      <c r="H19" s="63" t="str">
        <f t="shared" si="9"/>
        <v/>
      </c>
      <c r="I19" s="63" t="str">
        <f t="shared" si="9"/>
        <v/>
      </c>
      <c r="J19" s="63" t="str">
        <f t="shared" si="9"/>
        <v/>
      </c>
      <c r="K19" s="63" t="str">
        <f t="shared" si="9"/>
        <v/>
      </c>
      <c r="L19" s="63" t="str">
        <f t="shared" si="9"/>
        <v/>
      </c>
      <c r="M19" s="63" t="str">
        <f t="shared" si="9"/>
        <v/>
      </c>
      <c r="N19" s="63" t="str">
        <f t="shared" si="9"/>
        <v/>
      </c>
      <c r="O19" s="63" t="str">
        <f t="shared" si="9"/>
        <v/>
      </c>
      <c r="P19" s="63" t="str">
        <f t="shared" si="9"/>
        <v/>
      </c>
      <c r="Q19" s="63" t="str">
        <f t="shared" si="9"/>
        <v/>
      </c>
      <c r="R19" s="63" t="str">
        <f t="shared" si="10"/>
        <v/>
      </c>
      <c r="S19" s="64" t="str">
        <f t="shared" si="10"/>
        <v/>
      </c>
      <c r="T19" s="65" t="str">
        <f t="shared" si="10"/>
        <v/>
      </c>
      <c r="U19" s="63" t="str">
        <f t="shared" si="10"/>
        <v/>
      </c>
      <c r="V19" s="63" t="str">
        <f t="shared" si="10"/>
        <v/>
      </c>
      <c r="W19" s="63" t="str">
        <f t="shared" si="10"/>
        <v/>
      </c>
      <c r="X19" s="63" t="str">
        <f t="shared" si="10"/>
        <v/>
      </c>
      <c r="Y19" s="63" t="str">
        <f t="shared" si="10"/>
        <v/>
      </c>
      <c r="Z19" s="63" t="str">
        <f t="shared" si="10"/>
        <v/>
      </c>
      <c r="AA19" s="63" t="str">
        <f t="shared" si="10"/>
        <v/>
      </c>
      <c r="AB19" s="63" t="str">
        <f t="shared" si="11"/>
        <v/>
      </c>
      <c r="AC19" s="63" t="str">
        <f t="shared" si="11"/>
        <v/>
      </c>
      <c r="AD19" s="63" t="str">
        <f t="shared" si="11"/>
        <v/>
      </c>
      <c r="AE19" s="64" t="str">
        <f t="shared" si="11"/>
        <v/>
      </c>
      <c r="AF19" s="65" t="str">
        <f t="shared" si="11"/>
        <v/>
      </c>
      <c r="AG19" s="63" t="str">
        <f t="shared" si="11"/>
        <v/>
      </c>
      <c r="AH19" s="63" t="str">
        <f t="shared" si="11"/>
        <v/>
      </c>
      <c r="AI19" s="63" t="str">
        <f t="shared" si="11"/>
        <v/>
      </c>
      <c r="AJ19" s="63" t="str">
        <f t="shared" si="11"/>
        <v/>
      </c>
      <c r="AK19" s="63" t="str">
        <f t="shared" si="11"/>
        <v/>
      </c>
      <c r="AL19" s="63" t="str">
        <f t="shared" si="12"/>
        <v/>
      </c>
      <c r="AM19" s="63" t="str">
        <f t="shared" si="12"/>
        <v/>
      </c>
      <c r="AN19" s="63" t="str">
        <f t="shared" si="12"/>
        <v/>
      </c>
      <c r="AO19" s="63" t="str">
        <f t="shared" si="12"/>
        <v/>
      </c>
      <c r="AP19" s="63" t="str">
        <f t="shared" si="12"/>
        <v/>
      </c>
      <c r="AQ19" s="64" t="str">
        <f t="shared" si="12"/>
        <v/>
      </c>
      <c r="AR19" s="2"/>
      <c r="AS19" s="58"/>
      <c r="AU19" s="2"/>
    </row>
    <row r="20" spans="1:48" s="3" customFormat="1" ht="16.5" customHeight="1" outlineLevel="2">
      <c r="A20" s="2"/>
      <c r="B20" s="38" t="s">
        <v>59</v>
      </c>
      <c r="C20" s="43" t="s">
        <v>60</v>
      </c>
      <c r="D20" s="44" t="s">
        <v>37</v>
      </c>
      <c r="E20" s="44" t="s">
        <v>30</v>
      </c>
      <c r="F20" s="39">
        <v>12</v>
      </c>
      <c r="G20" s="39">
        <f>F20</f>
        <v>12</v>
      </c>
      <c r="H20" s="66" t="str">
        <f t="shared" si="9"/>
        <v/>
      </c>
      <c r="I20" s="66" t="str">
        <f t="shared" si="9"/>
        <v/>
      </c>
      <c r="J20" s="66" t="str">
        <f t="shared" si="9"/>
        <v/>
      </c>
      <c r="K20" s="66" t="str">
        <f t="shared" si="9"/>
        <v/>
      </c>
      <c r="L20" s="66" t="str">
        <f t="shared" si="9"/>
        <v/>
      </c>
      <c r="M20" s="66" t="str">
        <f t="shared" si="9"/>
        <v/>
      </c>
      <c r="N20" s="66" t="str">
        <f t="shared" si="9"/>
        <v/>
      </c>
      <c r="O20" s="66" t="str">
        <f t="shared" si="9"/>
        <v/>
      </c>
      <c r="P20" s="66" t="str">
        <f t="shared" si="9"/>
        <v/>
      </c>
      <c r="Q20" s="66" t="str">
        <f t="shared" si="9"/>
        <v/>
      </c>
      <c r="R20" s="66" t="str">
        <f t="shared" si="10"/>
        <v/>
      </c>
      <c r="S20" s="67">
        <f t="shared" si="10"/>
        <v>2</v>
      </c>
      <c r="T20" s="68" t="str">
        <f t="shared" si="10"/>
        <v/>
      </c>
      <c r="U20" s="66" t="str">
        <f t="shared" si="10"/>
        <v/>
      </c>
      <c r="V20" s="66" t="str">
        <f t="shared" si="10"/>
        <v/>
      </c>
      <c r="W20" s="66" t="str">
        <f t="shared" si="10"/>
        <v/>
      </c>
      <c r="X20" s="66" t="str">
        <f t="shared" si="10"/>
        <v/>
      </c>
      <c r="Y20" s="66" t="str">
        <f t="shared" si="10"/>
        <v/>
      </c>
      <c r="Z20" s="66" t="str">
        <f t="shared" si="10"/>
        <v/>
      </c>
      <c r="AA20" s="66" t="str">
        <f t="shared" si="10"/>
        <v/>
      </c>
      <c r="AB20" s="66" t="str">
        <f t="shared" si="11"/>
        <v/>
      </c>
      <c r="AC20" s="66" t="str">
        <f t="shared" si="11"/>
        <v/>
      </c>
      <c r="AD20" s="66" t="str">
        <f t="shared" si="11"/>
        <v/>
      </c>
      <c r="AE20" s="67" t="str">
        <f t="shared" si="11"/>
        <v/>
      </c>
      <c r="AF20" s="68" t="str">
        <f t="shared" si="11"/>
        <v/>
      </c>
      <c r="AG20" s="66" t="str">
        <f t="shared" si="11"/>
        <v/>
      </c>
      <c r="AH20" s="66" t="str">
        <f t="shared" si="11"/>
        <v/>
      </c>
      <c r="AI20" s="66" t="str">
        <f t="shared" si="11"/>
        <v/>
      </c>
      <c r="AJ20" s="66" t="str">
        <f t="shared" si="11"/>
        <v/>
      </c>
      <c r="AK20" s="66" t="str">
        <f t="shared" si="11"/>
        <v/>
      </c>
      <c r="AL20" s="66" t="str">
        <f t="shared" si="12"/>
        <v/>
      </c>
      <c r="AM20" s="66" t="str">
        <f t="shared" si="12"/>
        <v/>
      </c>
      <c r="AN20" s="66" t="str">
        <f t="shared" si="12"/>
        <v/>
      </c>
      <c r="AO20" s="66" t="str">
        <f t="shared" si="12"/>
        <v/>
      </c>
      <c r="AP20" s="66" t="str">
        <f t="shared" si="12"/>
        <v/>
      </c>
      <c r="AQ20" s="67" t="str">
        <f t="shared" si="12"/>
        <v/>
      </c>
      <c r="AR20" s="60"/>
      <c r="AS20" s="42" t="s">
        <v>24</v>
      </c>
      <c r="AT20" s="3" t="s">
        <v>38</v>
      </c>
      <c r="AU20" s="2"/>
      <c r="AV20" s="2" t="s">
        <v>39</v>
      </c>
    </row>
    <row r="21" spans="1:48" s="3" customFormat="1" ht="16.5" customHeight="1" outlineLevel="2">
      <c r="A21" s="2"/>
      <c r="B21" s="36" t="s">
        <v>61</v>
      </c>
      <c r="C21" s="37" t="s">
        <v>62</v>
      </c>
      <c r="D21" s="45" t="s">
        <v>37</v>
      </c>
      <c r="E21" s="45" t="s">
        <v>30</v>
      </c>
      <c r="F21" s="40">
        <v>24</v>
      </c>
      <c r="G21" s="40">
        <f t="shared" ref="G21:G23" si="13">F21</f>
        <v>24</v>
      </c>
      <c r="H21" s="66" t="str">
        <f t="shared" si="9"/>
        <v/>
      </c>
      <c r="I21" s="66" t="str">
        <f t="shared" si="9"/>
        <v/>
      </c>
      <c r="J21" s="66" t="str">
        <f t="shared" si="9"/>
        <v/>
      </c>
      <c r="K21" s="66" t="str">
        <f t="shared" si="9"/>
        <v/>
      </c>
      <c r="L21" s="66" t="str">
        <f t="shared" si="9"/>
        <v/>
      </c>
      <c r="M21" s="66" t="str">
        <f t="shared" si="9"/>
        <v/>
      </c>
      <c r="N21" s="66" t="str">
        <f t="shared" si="9"/>
        <v/>
      </c>
      <c r="O21" s="66" t="str">
        <f t="shared" si="9"/>
        <v/>
      </c>
      <c r="P21" s="66" t="str">
        <f t="shared" si="9"/>
        <v/>
      </c>
      <c r="Q21" s="66" t="str">
        <f t="shared" si="9"/>
        <v/>
      </c>
      <c r="R21" s="66" t="str">
        <f t="shared" si="10"/>
        <v/>
      </c>
      <c r="S21" s="67" t="str">
        <f t="shared" si="10"/>
        <v/>
      </c>
      <c r="T21" s="68" t="str">
        <f t="shared" si="10"/>
        <v/>
      </c>
      <c r="U21" s="66" t="str">
        <f t="shared" si="10"/>
        <v/>
      </c>
      <c r="V21" s="66" t="str">
        <f t="shared" si="10"/>
        <v/>
      </c>
      <c r="W21" s="66" t="str">
        <f t="shared" si="10"/>
        <v/>
      </c>
      <c r="X21" s="66" t="str">
        <f t="shared" si="10"/>
        <v/>
      </c>
      <c r="Y21" s="66" t="str">
        <f t="shared" si="10"/>
        <v/>
      </c>
      <c r="Z21" s="66" t="str">
        <f t="shared" si="10"/>
        <v/>
      </c>
      <c r="AA21" s="66" t="str">
        <f t="shared" si="10"/>
        <v/>
      </c>
      <c r="AB21" s="66" t="str">
        <f t="shared" si="11"/>
        <v/>
      </c>
      <c r="AC21" s="66" t="str">
        <f t="shared" si="11"/>
        <v/>
      </c>
      <c r="AD21" s="66" t="str">
        <f t="shared" si="11"/>
        <v/>
      </c>
      <c r="AE21" s="67">
        <f t="shared" si="11"/>
        <v>2</v>
      </c>
      <c r="AF21" s="68" t="str">
        <f t="shared" si="11"/>
        <v/>
      </c>
      <c r="AG21" s="66" t="str">
        <f t="shared" si="11"/>
        <v/>
      </c>
      <c r="AH21" s="66" t="str">
        <f t="shared" si="11"/>
        <v/>
      </c>
      <c r="AI21" s="66" t="str">
        <f t="shared" si="11"/>
        <v/>
      </c>
      <c r="AJ21" s="66" t="str">
        <f t="shared" si="11"/>
        <v/>
      </c>
      <c r="AK21" s="66" t="str">
        <f t="shared" si="11"/>
        <v/>
      </c>
      <c r="AL21" s="66" t="str">
        <f t="shared" si="12"/>
        <v/>
      </c>
      <c r="AM21" s="66" t="str">
        <f t="shared" si="12"/>
        <v/>
      </c>
      <c r="AN21" s="66" t="str">
        <f t="shared" si="12"/>
        <v/>
      </c>
      <c r="AO21" s="66" t="str">
        <f t="shared" si="12"/>
        <v/>
      </c>
      <c r="AP21" s="66" t="str">
        <f t="shared" si="12"/>
        <v/>
      </c>
      <c r="AQ21" s="67" t="str">
        <f t="shared" si="12"/>
        <v/>
      </c>
      <c r="AR21" s="60"/>
      <c r="AS21" s="42" t="s">
        <v>63</v>
      </c>
      <c r="AT21" s="3" t="s">
        <v>38</v>
      </c>
      <c r="AU21" s="2"/>
    </row>
    <row r="22" spans="1:48" s="3" customFormat="1" ht="16.5" customHeight="1" outlineLevel="2">
      <c r="A22" s="2"/>
      <c r="B22" s="36" t="s">
        <v>64</v>
      </c>
      <c r="C22" s="37" t="s">
        <v>65</v>
      </c>
      <c r="D22" s="45" t="s">
        <v>37</v>
      </c>
      <c r="E22" s="45" t="s">
        <v>30</v>
      </c>
      <c r="F22" s="40">
        <v>28</v>
      </c>
      <c r="G22" s="40">
        <f t="shared" si="13"/>
        <v>28</v>
      </c>
      <c r="H22" s="66" t="str">
        <f t="shared" si="9"/>
        <v/>
      </c>
      <c r="I22" s="66" t="str">
        <f t="shared" si="9"/>
        <v/>
      </c>
      <c r="J22" s="66" t="str">
        <f t="shared" si="9"/>
        <v/>
      </c>
      <c r="K22" s="66" t="str">
        <f t="shared" si="9"/>
        <v/>
      </c>
      <c r="L22" s="66" t="str">
        <f t="shared" si="9"/>
        <v/>
      </c>
      <c r="M22" s="66" t="str">
        <f t="shared" si="9"/>
        <v/>
      </c>
      <c r="N22" s="66" t="str">
        <f t="shared" si="9"/>
        <v/>
      </c>
      <c r="O22" s="66" t="str">
        <f t="shared" si="9"/>
        <v/>
      </c>
      <c r="P22" s="66" t="str">
        <f t="shared" si="9"/>
        <v/>
      </c>
      <c r="Q22" s="66" t="str">
        <f t="shared" si="9"/>
        <v/>
      </c>
      <c r="R22" s="66" t="str">
        <f t="shared" si="10"/>
        <v/>
      </c>
      <c r="S22" s="67" t="str">
        <f t="shared" si="10"/>
        <v/>
      </c>
      <c r="T22" s="68" t="str">
        <f t="shared" si="10"/>
        <v/>
      </c>
      <c r="U22" s="66" t="str">
        <f t="shared" si="10"/>
        <v/>
      </c>
      <c r="V22" s="66" t="str">
        <f t="shared" si="10"/>
        <v/>
      </c>
      <c r="W22" s="66" t="str">
        <f t="shared" si="10"/>
        <v/>
      </c>
      <c r="X22" s="66" t="str">
        <f t="shared" si="10"/>
        <v/>
      </c>
      <c r="Y22" s="66" t="str">
        <f t="shared" si="10"/>
        <v/>
      </c>
      <c r="Z22" s="66" t="str">
        <f t="shared" si="10"/>
        <v/>
      </c>
      <c r="AA22" s="66" t="str">
        <f t="shared" si="10"/>
        <v/>
      </c>
      <c r="AB22" s="66" t="str">
        <f t="shared" si="11"/>
        <v/>
      </c>
      <c r="AC22" s="66" t="str">
        <f t="shared" si="11"/>
        <v/>
      </c>
      <c r="AD22" s="66" t="str">
        <f t="shared" si="11"/>
        <v/>
      </c>
      <c r="AE22" s="67" t="str">
        <f t="shared" si="11"/>
        <v/>
      </c>
      <c r="AF22" s="68" t="str">
        <f t="shared" si="11"/>
        <v/>
      </c>
      <c r="AG22" s="66" t="str">
        <f t="shared" si="11"/>
        <v/>
      </c>
      <c r="AH22" s="66" t="str">
        <f t="shared" si="11"/>
        <v/>
      </c>
      <c r="AI22" s="66">
        <f t="shared" si="11"/>
        <v>2</v>
      </c>
      <c r="AJ22" s="66" t="str">
        <f t="shared" si="11"/>
        <v/>
      </c>
      <c r="AK22" s="66" t="str">
        <f t="shared" si="11"/>
        <v/>
      </c>
      <c r="AL22" s="66" t="str">
        <f t="shared" si="12"/>
        <v/>
      </c>
      <c r="AM22" s="66" t="str">
        <f t="shared" si="12"/>
        <v/>
      </c>
      <c r="AN22" s="66" t="str">
        <f t="shared" si="12"/>
        <v/>
      </c>
      <c r="AO22" s="66" t="str">
        <f t="shared" si="12"/>
        <v/>
      </c>
      <c r="AP22" s="66" t="str">
        <f t="shared" si="12"/>
        <v/>
      </c>
      <c r="AQ22" s="67" t="str">
        <f t="shared" si="12"/>
        <v/>
      </c>
      <c r="AR22" s="60"/>
      <c r="AS22" s="42" t="s">
        <v>24</v>
      </c>
      <c r="AT22" s="3" t="s">
        <v>38</v>
      </c>
      <c r="AU22" s="2"/>
    </row>
    <row r="23" spans="1:48" s="3" customFormat="1" ht="16.5" customHeight="1" outlineLevel="2">
      <c r="A23" s="2"/>
      <c r="B23" s="36" t="s">
        <v>66</v>
      </c>
      <c r="C23" s="37" t="s">
        <v>67</v>
      </c>
      <c r="D23" s="45" t="s">
        <v>37</v>
      </c>
      <c r="E23" s="45" t="s">
        <v>30</v>
      </c>
      <c r="F23" s="40">
        <v>30</v>
      </c>
      <c r="G23" s="40">
        <f t="shared" si="13"/>
        <v>30</v>
      </c>
      <c r="H23" s="66" t="str">
        <f t="shared" si="9"/>
        <v/>
      </c>
      <c r="I23" s="66" t="str">
        <f t="shared" si="9"/>
        <v/>
      </c>
      <c r="J23" s="66" t="str">
        <f t="shared" si="9"/>
        <v/>
      </c>
      <c r="K23" s="66" t="str">
        <f t="shared" si="9"/>
        <v/>
      </c>
      <c r="L23" s="66" t="str">
        <f t="shared" si="9"/>
        <v/>
      </c>
      <c r="M23" s="66" t="str">
        <f t="shared" si="9"/>
        <v/>
      </c>
      <c r="N23" s="66" t="str">
        <f t="shared" si="9"/>
        <v/>
      </c>
      <c r="O23" s="66" t="str">
        <f t="shared" si="9"/>
        <v/>
      </c>
      <c r="P23" s="66" t="str">
        <f t="shared" si="9"/>
        <v/>
      </c>
      <c r="Q23" s="66" t="str">
        <f t="shared" si="9"/>
        <v/>
      </c>
      <c r="R23" s="66" t="str">
        <f t="shared" si="10"/>
        <v/>
      </c>
      <c r="S23" s="67" t="str">
        <f t="shared" si="10"/>
        <v/>
      </c>
      <c r="T23" s="68" t="str">
        <f t="shared" si="10"/>
        <v/>
      </c>
      <c r="U23" s="66" t="str">
        <f t="shared" si="10"/>
        <v/>
      </c>
      <c r="V23" s="66" t="str">
        <f t="shared" si="10"/>
        <v/>
      </c>
      <c r="W23" s="66" t="str">
        <f t="shared" si="10"/>
        <v/>
      </c>
      <c r="X23" s="66" t="str">
        <f t="shared" si="10"/>
        <v/>
      </c>
      <c r="Y23" s="66" t="str">
        <f t="shared" si="10"/>
        <v/>
      </c>
      <c r="Z23" s="66" t="str">
        <f t="shared" si="10"/>
        <v/>
      </c>
      <c r="AA23" s="66" t="str">
        <f t="shared" si="10"/>
        <v/>
      </c>
      <c r="AB23" s="66" t="str">
        <f t="shared" si="11"/>
        <v/>
      </c>
      <c r="AC23" s="66" t="str">
        <f t="shared" si="11"/>
        <v/>
      </c>
      <c r="AD23" s="66" t="str">
        <f t="shared" si="11"/>
        <v/>
      </c>
      <c r="AE23" s="67" t="str">
        <f t="shared" si="11"/>
        <v/>
      </c>
      <c r="AF23" s="68" t="str">
        <f t="shared" si="11"/>
        <v/>
      </c>
      <c r="AG23" s="66" t="str">
        <f t="shared" si="11"/>
        <v/>
      </c>
      <c r="AH23" s="66" t="str">
        <f t="shared" si="11"/>
        <v/>
      </c>
      <c r="AI23" s="66" t="str">
        <f t="shared" si="11"/>
        <v/>
      </c>
      <c r="AJ23" s="66" t="str">
        <f t="shared" si="11"/>
        <v/>
      </c>
      <c r="AK23" s="66">
        <f t="shared" si="11"/>
        <v>2</v>
      </c>
      <c r="AL23" s="66" t="str">
        <f t="shared" si="12"/>
        <v/>
      </c>
      <c r="AM23" s="66" t="str">
        <f t="shared" si="12"/>
        <v/>
      </c>
      <c r="AN23" s="66" t="str">
        <f t="shared" si="12"/>
        <v/>
      </c>
      <c r="AO23" s="66" t="str">
        <f t="shared" si="12"/>
        <v/>
      </c>
      <c r="AP23" s="66" t="str">
        <f t="shared" si="12"/>
        <v/>
      </c>
      <c r="AQ23" s="67" t="str">
        <f t="shared" si="12"/>
        <v/>
      </c>
      <c r="AR23" s="60"/>
      <c r="AS23" s="42" t="s">
        <v>24</v>
      </c>
      <c r="AT23" s="3" t="s">
        <v>38</v>
      </c>
      <c r="AU23" s="2"/>
    </row>
    <row r="24" spans="1:48" s="3" customFormat="1" ht="16.5" customHeight="1" outlineLevel="1">
      <c r="A24" s="2"/>
      <c r="B24" s="46" t="s">
        <v>68</v>
      </c>
      <c r="C24" s="47" t="s">
        <v>69</v>
      </c>
      <c r="D24" s="48" t="s">
        <v>47</v>
      </c>
      <c r="E24" s="48" t="s">
        <v>30</v>
      </c>
      <c r="F24" s="41">
        <v>21</v>
      </c>
      <c r="G24" s="41">
        <f>F24</f>
        <v>21</v>
      </c>
      <c r="H24" s="66" t="str">
        <f t="shared" si="9"/>
        <v/>
      </c>
      <c r="I24" s="66" t="str">
        <f t="shared" si="9"/>
        <v/>
      </c>
      <c r="J24" s="66" t="str">
        <f t="shared" si="9"/>
        <v/>
      </c>
      <c r="K24" s="66" t="str">
        <f t="shared" si="9"/>
        <v/>
      </c>
      <c r="L24" s="66" t="str">
        <f t="shared" si="9"/>
        <v/>
      </c>
      <c r="M24" s="66" t="str">
        <f t="shared" si="9"/>
        <v/>
      </c>
      <c r="N24" s="66" t="str">
        <f t="shared" si="9"/>
        <v/>
      </c>
      <c r="O24" s="66" t="str">
        <f t="shared" si="9"/>
        <v/>
      </c>
      <c r="P24" s="66" t="str">
        <f t="shared" si="9"/>
        <v/>
      </c>
      <c r="Q24" s="66" t="str">
        <f t="shared" si="9"/>
        <v/>
      </c>
      <c r="R24" s="66" t="str">
        <f t="shared" si="10"/>
        <v/>
      </c>
      <c r="S24" s="67" t="str">
        <f t="shared" si="10"/>
        <v/>
      </c>
      <c r="T24" s="68" t="str">
        <f t="shared" si="10"/>
        <v/>
      </c>
      <c r="U24" s="66" t="str">
        <f t="shared" si="10"/>
        <v/>
      </c>
      <c r="V24" s="66" t="str">
        <f t="shared" si="10"/>
        <v/>
      </c>
      <c r="W24" s="66" t="str">
        <f t="shared" si="10"/>
        <v/>
      </c>
      <c r="X24" s="66" t="str">
        <f t="shared" si="10"/>
        <v/>
      </c>
      <c r="Y24" s="66" t="str">
        <f t="shared" si="10"/>
        <v/>
      </c>
      <c r="Z24" s="66" t="str">
        <f t="shared" si="10"/>
        <v/>
      </c>
      <c r="AA24" s="66" t="str">
        <f t="shared" si="10"/>
        <v/>
      </c>
      <c r="AB24" s="66">
        <f t="shared" si="11"/>
        <v>1</v>
      </c>
      <c r="AC24" s="66" t="str">
        <f t="shared" si="11"/>
        <v/>
      </c>
      <c r="AD24" s="66" t="str">
        <f t="shared" si="11"/>
        <v/>
      </c>
      <c r="AE24" s="67" t="str">
        <f t="shared" si="11"/>
        <v/>
      </c>
      <c r="AF24" s="68" t="str">
        <f t="shared" si="11"/>
        <v/>
      </c>
      <c r="AG24" s="66" t="str">
        <f t="shared" si="11"/>
        <v/>
      </c>
      <c r="AH24" s="66" t="str">
        <f t="shared" si="11"/>
        <v/>
      </c>
      <c r="AI24" s="66" t="str">
        <f t="shared" si="11"/>
        <v/>
      </c>
      <c r="AJ24" s="66" t="str">
        <f t="shared" si="11"/>
        <v/>
      </c>
      <c r="AK24" s="66" t="str">
        <f t="shared" si="11"/>
        <v/>
      </c>
      <c r="AL24" s="66" t="str">
        <f t="shared" si="12"/>
        <v/>
      </c>
      <c r="AM24" s="66" t="str">
        <f t="shared" si="12"/>
        <v/>
      </c>
      <c r="AN24" s="66" t="str">
        <f t="shared" si="12"/>
        <v/>
      </c>
      <c r="AO24" s="66" t="str">
        <f t="shared" si="12"/>
        <v/>
      </c>
      <c r="AP24" s="66" t="str">
        <f t="shared" si="12"/>
        <v/>
      </c>
      <c r="AQ24" s="67" t="str">
        <f t="shared" si="12"/>
        <v/>
      </c>
      <c r="AR24" s="60"/>
      <c r="AS24" s="42" t="s">
        <v>24</v>
      </c>
      <c r="AU24" s="2"/>
    </row>
    <row r="25" spans="1:48" s="3" customFormat="1" ht="16.5" customHeight="1">
      <c r="A25" s="2"/>
      <c r="B25" s="17" t="s">
        <v>70</v>
      </c>
      <c r="C25" s="18" t="s">
        <v>71</v>
      </c>
      <c r="D25" s="19" t="s">
        <v>23</v>
      </c>
      <c r="E25" s="19" t="s">
        <v>72</v>
      </c>
      <c r="F25" s="20">
        <f>MIN(F26:F35)</f>
        <v>1</v>
      </c>
      <c r="G25" s="20">
        <f>MAX(G26:G35)</f>
        <v>21</v>
      </c>
      <c r="H25" s="63" t="str">
        <f t="shared" si="9"/>
        <v/>
      </c>
      <c r="I25" s="63" t="str">
        <f t="shared" si="9"/>
        <v/>
      </c>
      <c r="J25" s="63" t="str">
        <f t="shared" si="9"/>
        <v/>
      </c>
      <c r="K25" s="63" t="str">
        <f t="shared" si="9"/>
        <v/>
      </c>
      <c r="L25" s="63" t="str">
        <f t="shared" si="9"/>
        <v/>
      </c>
      <c r="M25" s="63" t="str">
        <f t="shared" si="9"/>
        <v/>
      </c>
      <c r="N25" s="63" t="str">
        <f t="shared" si="9"/>
        <v/>
      </c>
      <c r="O25" s="63" t="str">
        <f t="shared" si="9"/>
        <v/>
      </c>
      <c r="P25" s="63" t="str">
        <f t="shared" si="9"/>
        <v/>
      </c>
      <c r="Q25" s="63" t="str">
        <f t="shared" si="9"/>
        <v/>
      </c>
      <c r="R25" s="63" t="str">
        <f t="shared" si="10"/>
        <v/>
      </c>
      <c r="S25" s="64" t="str">
        <f t="shared" si="10"/>
        <v/>
      </c>
      <c r="T25" s="65" t="str">
        <f t="shared" si="10"/>
        <v/>
      </c>
      <c r="U25" s="63" t="str">
        <f t="shared" si="10"/>
        <v/>
      </c>
      <c r="V25" s="63" t="str">
        <f t="shared" si="10"/>
        <v/>
      </c>
      <c r="W25" s="63" t="str">
        <f t="shared" si="10"/>
        <v/>
      </c>
      <c r="X25" s="63" t="str">
        <f t="shared" si="10"/>
        <v/>
      </c>
      <c r="Y25" s="63" t="str">
        <f t="shared" si="10"/>
        <v/>
      </c>
      <c r="Z25" s="63" t="str">
        <f t="shared" si="10"/>
        <v/>
      </c>
      <c r="AA25" s="63" t="str">
        <f t="shared" si="10"/>
        <v/>
      </c>
      <c r="AB25" s="63" t="str">
        <f t="shared" si="11"/>
        <v/>
      </c>
      <c r="AC25" s="63" t="str">
        <f t="shared" si="11"/>
        <v/>
      </c>
      <c r="AD25" s="63" t="str">
        <f t="shared" si="11"/>
        <v/>
      </c>
      <c r="AE25" s="64" t="str">
        <f t="shared" si="11"/>
        <v/>
      </c>
      <c r="AF25" s="65" t="str">
        <f t="shared" si="11"/>
        <v/>
      </c>
      <c r="AG25" s="63" t="str">
        <f t="shared" si="11"/>
        <v/>
      </c>
      <c r="AH25" s="63" t="str">
        <f t="shared" si="11"/>
        <v/>
      </c>
      <c r="AI25" s="63" t="str">
        <f t="shared" si="11"/>
        <v/>
      </c>
      <c r="AJ25" s="63" t="str">
        <f t="shared" si="11"/>
        <v/>
      </c>
      <c r="AK25" s="63" t="str">
        <f t="shared" si="11"/>
        <v/>
      </c>
      <c r="AL25" s="63" t="str">
        <f t="shared" si="12"/>
        <v/>
      </c>
      <c r="AM25" s="63" t="str">
        <f t="shared" si="12"/>
        <v/>
      </c>
      <c r="AN25" s="63" t="str">
        <f t="shared" si="12"/>
        <v/>
      </c>
      <c r="AO25" s="63" t="str">
        <f t="shared" si="12"/>
        <v/>
      </c>
      <c r="AP25" s="63" t="str">
        <f t="shared" si="12"/>
        <v/>
      </c>
      <c r="AQ25" s="64" t="str">
        <f t="shared" si="12"/>
        <v/>
      </c>
      <c r="AR25" s="2"/>
      <c r="AS25" s="58"/>
      <c r="AU25" s="2"/>
    </row>
    <row r="26" spans="1:48" s="3" customFormat="1" ht="16.5" customHeight="1" outlineLevel="1">
      <c r="A26" s="2"/>
      <c r="B26" s="13" t="s">
        <v>73</v>
      </c>
      <c r="C26" s="14" t="s">
        <v>74</v>
      </c>
      <c r="D26" s="15" t="s">
        <v>27</v>
      </c>
      <c r="E26" s="15" t="s">
        <v>72</v>
      </c>
      <c r="F26" s="1">
        <v>1</v>
      </c>
      <c r="G26" s="1">
        <v>5</v>
      </c>
      <c r="H26" s="63" t="str">
        <f t="shared" si="9"/>
        <v/>
      </c>
      <c r="I26" s="63" t="str">
        <f t="shared" si="9"/>
        <v/>
      </c>
      <c r="J26" s="63" t="str">
        <f t="shared" si="9"/>
        <v/>
      </c>
      <c r="K26" s="63" t="str">
        <f t="shared" si="9"/>
        <v/>
      </c>
      <c r="L26" s="63" t="str">
        <f t="shared" si="9"/>
        <v/>
      </c>
      <c r="M26" s="63" t="str">
        <f t="shared" si="9"/>
        <v/>
      </c>
      <c r="N26" s="63" t="str">
        <f t="shared" si="9"/>
        <v/>
      </c>
      <c r="O26" s="63" t="str">
        <f t="shared" si="9"/>
        <v/>
      </c>
      <c r="P26" s="63" t="str">
        <f t="shared" si="9"/>
        <v/>
      </c>
      <c r="Q26" s="63" t="str">
        <f t="shared" si="9"/>
        <v/>
      </c>
      <c r="R26" s="63" t="str">
        <f t="shared" si="10"/>
        <v/>
      </c>
      <c r="S26" s="64" t="str">
        <f t="shared" si="10"/>
        <v/>
      </c>
      <c r="T26" s="65" t="str">
        <f t="shared" si="10"/>
        <v/>
      </c>
      <c r="U26" s="63" t="str">
        <f t="shared" si="10"/>
        <v/>
      </c>
      <c r="V26" s="63" t="str">
        <f t="shared" si="10"/>
        <v/>
      </c>
      <c r="W26" s="63" t="str">
        <f t="shared" si="10"/>
        <v/>
      </c>
      <c r="X26" s="63" t="str">
        <f t="shared" si="10"/>
        <v/>
      </c>
      <c r="Y26" s="63" t="str">
        <f t="shared" si="10"/>
        <v/>
      </c>
      <c r="Z26" s="63" t="str">
        <f t="shared" si="10"/>
        <v/>
      </c>
      <c r="AA26" s="63" t="str">
        <f t="shared" si="10"/>
        <v/>
      </c>
      <c r="AB26" s="63" t="str">
        <f t="shared" si="11"/>
        <v/>
      </c>
      <c r="AC26" s="63" t="str">
        <f t="shared" si="11"/>
        <v/>
      </c>
      <c r="AD26" s="63" t="str">
        <f t="shared" si="11"/>
        <v/>
      </c>
      <c r="AE26" s="64" t="str">
        <f t="shared" si="11"/>
        <v/>
      </c>
      <c r="AF26" s="65" t="str">
        <f t="shared" si="11"/>
        <v/>
      </c>
      <c r="AG26" s="63" t="str">
        <f t="shared" si="11"/>
        <v/>
      </c>
      <c r="AH26" s="63" t="str">
        <f t="shared" si="11"/>
        <v/>
      </c>
      <c r="AI26" s="63" t="str">
        <f t="shared" si="11"/>
        <v/>
      </c>
      <c r="AJ26" s="63" t="str">
        <f t="shared" si="11"/>
        <v/>
      </c>
      <c r="AK26" s="63" t="str">
        <f t="shared" si="11"/>
        <v/>
      </c>
      <c r="AL26" s="63" t="str">
        <f t="shared" si="12"/>
        <v/>
      </c>
      <c r="AM26" s="63" t="str">
        <f t="shared" si="12"/>
        <v/>
      </c>
      <c r="AN26" s="63" t="str">
        <f t="shared" si="12"/>
        <v/>
      </c>
      <c r="AO26" s="63" t="str">
        <f t="shared" si="12"/>
        <v/>
      </c>
      <c r="AP26" s="63" t="str">
        <f t="shared" si="12"/>
        <v/>
      </c>
      <c r="AQ26" s="64" t="str">
        <f t="shared" si="12"/>
        <v/>
      </c>
      <c r="AR26" s="2"/>
      <c r="AS26" s="58"/>
      <c r="AU26" s="2"/>
    </row>
    <row r="27" spans="1:48" s="3" customFormat="1" ht="16.5" customHeight="1" outlineLevel="1">
      <c r="A27" s="2"/>
      <c r="B27" s="13" t="s">
        <v>75</v>
      </c>
      <c r="C27" s="14" t="s">
        <v>76</v>
      </c>
      <c r="D27" s="15" t="s">
        <v>27</v>
      </c>
      <c r="E27" s="15" t="s">
        <v>77</v>
      </c>
      <c r="F27" s="1">
        <v>3</v>
      </c>
      <c r="G27" s="1">
        <v>9</v>
      </c>
      <c r="H27" s="63" t="str">
        <f t="shared" si="9"/>
        <v/>
      </c>
      <c r="I27" s="63" t="str">
        <f t="shared" si="9"/>
        <v/>
      </c>
      <c r="J27" s="63" t="str">
        <f t="shared" si="9"/>
        <v/>
      </c>
      <c r="K27" s="63" t="str">
        <f t="shared" si="9"/>
        <v/>
      </c>
      <c r="L27" s="63" t="str">
        <f t="shared" si="9"/>
        <v/>
      </c>
      <c r="M27" s="63" t="str">
        <f t="shared" si="9"/>
        <v/>
      </c>
      <c r="N27" s="63" t="str">
        <f t="shared" si="9"/>
        <v/>
      </c>
      <c r="O27" s="63" t="str">
        <f t="shared" si="9"/>
        <v/>
      </c>
      <c r="P27" s="63" t="str">
        <f t="shared" si="9"/>
        <v/>
      </c>
      <c r="Q27" s="63" t="str">
        <f t="shared" si="9"/>
        <v/>
      </c>
      <c r="R27" s="63" t="str">
        <f t="shared" si="10"/>
        <v/>
      </c>
      <c r="S27" s="64" t="str">
        <f t="shared" si="10"/>
        <v/>
      </c>
      <c r="T27" s="65" t="str">
        <f t="shared" si="10"/>
        <v/>
      </c>
      <c r="U27" s="63" t="str">
        <f t="shared" si="10"/>
        <v/>
      </c>
      <c r="V27" s="63" t="str">
        <f t="shared" si="10"/>
        <v/>
      </c>
      <c r="W27" s="63" t="str">
        <f t="shared" si="10"/>
        <v/>
      </c>
      <c r="X27" s="63" t="str">
        <f t="shared" si="10"/>
        <v/>
      </c>
      <c r="Y27" s="63" t="str">
        <f t="shared" si="10"/>
        <v/>
      </c>
      <c r="Z27" s="63" t="str">
        <f t="shared" si="10"/>
        <v/>
      </c>
      <c r="AA27" s="63" t="str">
        <f t="shared" si="10"/>
        <v/>
      </c>
      <c r="AB27" s="63" t="str">
        <f t="shared" si="11"/>
        <v/>
      </c>
      <c r="AC27" s="63" t="str">
        <f t="shared" si="11"/>
        <v/>
      </c>
      <c r="AD27" s="63" t="str">
        <f t="shared" si="11"/>
        <v/>
      </c>
      <c r="AE27" s="64" t="str">
        <f t="shared" si="11"/>
        <v/>
      </c>
      <c r="AF27" s="65" t="str">
        <f t="shared" si="11"/>
        <v/>
      </c>
      <c r="AG27" s="63" t="str">
        <f t="shared" si="11"/>
        <v/>
      </c>
      <c r="AH27" s="63" t="str">
        <f t="shared" si="11"/>
        <v/>
      </c>
      <c r="AI27" s="63" t="str">
        <f t="shared" si="11"/>
        <v/>
      </c>
      <c r="AJ27" s="63" t="str">
        <f t="shared" si="11"/>
        <v/>
      </c>
      <c r="AK27" s="63" t="str">
        <f t="shared" si="11"/>
        <v/>
      </c>
      <c r="AL27" s="63" t="str">
        <f t="shared" si="12"/>
        <v/>
      </c>
      <c r="AM27" s="63" t="str">
        <f t="shared" si="12"/>
        <v/>
      </c>
      <c r="AN27" s="63" t="str">
        <f t="shared" si="12"/>
        <v/>
      </c>
      <c r="AO27" s="63" t="str">
        <f t="shared" si="12"/>
        <v/>
      </c>
      <c r="AP27" s="63" t="str">
        <f t="shared" si="12"/>
        <v/>
      </c>
      <c r="AQ27" s="64" t="str">
        <f t="shared" si="12"/>
        <v/>
      </c>
      <c r="AR27" s="2"/>
      <c r="AS27" s="58"/>
      <c r="AU27" s="2"/>
    </row>
    <row r="28" spans="1:48" s="3" customFormat="1" ht="16.5" customHeight="1" outlineLevel="1">
      <c r="A28" s="2"/>
      <c r="B28" s="13" t="s">
        <v>78</v>
      </c>
      <c r="C28" s="14" t="s">
        <v>79</v>
      </c>
      <c r="D28" s="15" t="s">
        <v>27</v>
      </c>
      <c r="E28" s="15" t="s">
        <v>72</v>
      </c>
      <c r="F28" s="1">
        <v>6</v>
      </c>
      <c r="G28" s="1">
        <v>12</v>
      </c>
      <c r="H28" s="63" t="str">
        <f t="shared" ref="H28:Q41" si="14">IF(AND($D28=$D$76,$F28=H$4),2,IF(AND($D28=$D$75,$F28=H$4),1,""))</f>
        <v/>
      </c>
      <c r="I28" s="63" t="str">
        <f t="shared" si="14"/>
        <v/>
      </c>
      <c r="J28" s="63" t="str">
        <f t="shared" si="14"/>
        <v/>
      </c>
      <c r="K28" s="63" t="str">
        <f t="shared" si="14"/>
        <v/>
      </c>
      <c r="L28" s="63" t="str">
        <f t="shared" si="14"/>
        <v/>
      </c>
      <c r="M28" s="63" t="str">
        <f t="shared" si="14"/>
        <v/>
      </c>
      <c r="N28" s="63" t="str">
        <f t="shared" si="14"/>
        <v/>
      </c>
      <c r="O28" s="63" t="str">
        <f t="shared" si="14"/>
        <v/>
      </c>
      <c r="P28" s="63" t="str">
        <f t="shared" si="14"/>
        <v/>
      </c>
      <c r="Q28" s="63" t="str">
        <f t="shared" si="14"/>
        <v/>
      </c>
      <c r="R28" s="63" t="str">
        <f t="shared" ref="R28:AA41" si="15">IF(AND($D28=$D$76,$F28=R$4),2,IF(AND($D28=$D$75,$F28=R$4),1,""))</f>
        <v/>
      </c>
      <c r="S28" s="64" t="str">
        <f t="shared" si="15"/>
        <v/>
      </c>
      <c r="T28" s="65" t="str">
        <f t="shared" si="15"/>
        <v/>
      </c>
      <c r="U28" s="63" t="str">
        <f t="shared" si="15"/>
        <v/>
      </c>
      <c r="V28" s="63" t="str">
        <f t="shared" si="15"/>
        <v/>
      </c>
      <c r="W28" s="63" t="str">
        <f t="shared" si="15"/>
        <v/>
      </c>
      <c r="X28" s="63" t="str">
        <f t="shared" si="15"/>
        <v/>
      </c>
      <c r="Y28" s="63" t="str">
        <f t="shared" si="15"/>
        <v/>
      </c>
      <c r="Z28" s="63" t="str">
        <f t="shared" si="15"/>
        <v/>
      </c>
      <c r="AA28" s="63" t="str">
        <f t="shared" si="15"/>
        <v/>
      </c>
      <c r="AB28" s="63" t="str">
        <f t="shared" ref="AB28:AK41" si="16">IF(AND($D28=$D$76,$F28=AB$4),2,IF(AND($D28=$D$75,$F28=AB$4),1,""))</f>
        <v/>
      </c>
      <c r="AC28" s="63" t="str">
        <f t="shared" si="16"/>
        <v/>
      </c>
      <c r="AD28" s="63" t="str">
        <f t="shared" si="16"/>
        <v/>
      </c>
      <c r="AE28" s="64" t="str">
        <f t="shared" si="16"/>
        <v/>
      </c>
      <c r="AF28" s="65" t="str">
        <f t="shared" si="16"/>
        <v/>
      </c>
      <c r="AG28" s="63" t="str">
        <f t="shared" si="16"/>
        <v/>
      </c>
      <c r="AH28" s="63" t="str">
        <f t="shared" si="16"/>
        <v/>
      </c>
      <c r="AI28" s="63" t="str">
        <f t="shared" si="16"/>
        <v/>
      </c>
      <c r="AJ28" s="63" t="str">
        <f t="shared" si="16"/>
        <v/>
      </c>
      <c r="AK28" s="63" t="str">
        <f t="shared" si="16"/>
        <v/>
      </c>
      <c r="AL28" s="63" t="str">
        <f t="shared" ref="AL28:AQ41" si="17">IF(AND($D28=$D$76,$F28=AL$4),2,IF(AND($D28=$D$75,$F28=AL$4),1,""))</f>
        <v/>
      </c>
      <c r="AM28" s="63" t="str">
        <f t="shared" si="17"/>
        <v/>
      </c>
      <c r="AN28" s="63" t="str">
        <f t="shared" si="17"/>
        <v/>
      </c>
      <c r="AO28" s="63" t="str">
        <f t="shared" si="17"/>
        <v/>
      </c>
      <c r="AP28" s="63" t="str">
        <f t="shared" si="17"/>
        <v/>
      </c>
      <c r="AQ28" s="64" t="str">
        <f t="shared" si="17"/>
        <v/>
      </c>
      <c r="AR28" s="2"/>
      <c r="AS28" s="58"/>
      <c r="AU28" s="2"/>
    </row>
    <row r="29" spans="1:48" s="3" customFormat="1" ht="16.5" customHeight="1" outlineLevel="1">
      <c r="A29" s="2"/>
      <c r="B29" s="13" t="s">
        <v>80</v>
      </c>
      <c r="C29" s="14" t="s">
        <v>81</v>
      </c>
      <c r="D29" s="15" t="s">
        <v>27</v>
      </c>
      <c r="E29" s="15" t="s">
        <v>72</v>
      </c>
      <c r="F29" s="1">
        <v>9</v>
      </c>
      <c r="G29" s="1">
        <v>12</v>
      </c>
      <c r="H29" s="63" t="str">
        <f t="shared" si="14"/>
        <v/>
      </c>
      <c r="I29" s="63" t="str">
        <f t="shared" si="14"/>
        <v/>
      </c>
      <c r="J29" s="63" t="str">
        <f t="shared" si="14"/>
        <v/>
      </c>
      <c r="K29" s="63" t="str">
        <f t="shared" si="14"/>
        <v/>
      </c>
      <c r="L29" s="63" t="str">
        <f t="shared" si="14"/>
        <v/>
      </c>
      <c r="M29" s="63" t="str">
        <f t="shared" si="14"/>
        <v/>
      </c>
      <c r="N29" s="63" t="str">
        <f t="shared" si="14"/>
        <v/>
      </c>
      <c r="O29" s="63" t="str">
        <f t="shared" si="14"/>
        <v/>
      </c>
      <c r="P29" s="63" t="str">
        <f t="shared" si="14"/>
        <v/>
      </c>
      <c r="Q29" s="63" t="str">
        <f t="shared" si="14"/>
        <v/>
      </c>
      <c r="R29" s="63" t="str">
        <f t="shared" si="15"/>
        <v/>
      </c>
      <c r="S29" s="64" t="str">
        <f t="shared" si="15"/>
        <v/>
      </c>
      <c r="T29" s="65" t="str">
        <f t="shared" si="15"/>
        <v/>
      </c>
      <c r="U29" s="63" t="str">
        <f t="shared" si="15"/>
        <v/>
      </c>
      <c r="V29" s="63" t="str">
        <f t="shared" si="15"/>
        <v/>
      </c>
      <c r="W29" s="63" t="str">
        <f t="shared" si="15"/>
        <v/>
      </c>
      <c r="X29" s="63" t="str">
        <f t="shared" si="15"/>
        <v/>
      </c>
      <c r="Y29" s="63" t="str">
        <f t="shared" si="15"/>
        <v/>
      </c>
      <c r="Z29" s="63" t="str">
        <f t="shared" si="15"/>
        <v/>
      </c>
      <c r="AA29" s="63" t="str">
        <f t="shared" si="15"/>
        <v/>
      </c>
      <c r="AB29" s="63" t="str">
        <f t="shared" si="16"/>
        <v/>
      </c>
      <c r="AC29" s="63" t="str">
        <f t="shared" si="16"/>
        <v/>
      </c>
      <c r="AD29" s="63" t="str">
        <f t="shared" si="16"/>
        <v/>
      </c>
      <c r="AE29" s="64" t="str">
        <f t="shared" si="16"/>
        <v/>
      </c>
      <c r="AF29" s="65" t="str">
        <f t="shared" si="16"/>
        <v/>
      </c>
      <c r="AG29" s="63" t="str">
        <f t="shared" si="16"/>
        <v/>
      </c>
      <c r="AH29" s="63" t="str">
        <f t="shared" si="16"/>
        <v/>
      </c>
      <c r="AI29" s="63" t="str">
        <f t="shared" si="16"/>
        <v/>
      </c>
      <c r="AJ29" s="63" t="str">
        <f t="shared" si="16"/>
        <v/>
      </c>
      <c r="AK29" s="63" t="str">
        <f t="shared" si="16"/>
        <v/>
      </c>
      <c r="AL29" s="63" t="str">
        <f t="shared" si="17"/>
        <v/>
      </c>
      <c r="AM29" s="63" t="str">
        <f t="shared" si="17"/>
        <v/>
      </c>
      <c r="AN29" s="63" t="str">
        <f t="shared" si="17"/>
        <v/>
      </c>
      <c r="AO29" s="63" t="str">
        <f t="shared" si="17"/>
        <v/>
      </c>
      <c r="AP29" s="63" t="str">
        <f t="shared" si="17"/>
        <v/>
      </c>
      <c r="AQ29" s="64" t="str">
        <f t="shared" si="17"/>
        <v/>
      </c>
      <c r="AR29" s="2"/>
      <c r="AS29" s="58"/>
      <c r="AU29" s="2"/>
    </row>
    <row r="30" spans="1:48" s="3" customFormat="1" ht="16.5" customHeight="1" outlineLevel="1">
      <c r="A30" s="2"/>
      <c r="B30" s="13" t="s">
        <v>82</v>
      </c>
      <c r="C30" s="14" t="s">
        <v>83</v>
      </c>
      <c r="D30" s="15" t="s">
        <v>27</v>
      </c>
      <c r="E30" s="15" t="s">
        <v>72</v>
      </c>
      <c r="F30" s="1">
        <v>12</v>
      </c>
      <c r="G30" s="1">
        <v>17</v>
      </c>
      <c r="H30" s="63" t="str">
        <f t="shared" si="14"/>
        <v/>
      </c>
      <c r="I30" s="63" t="str">
        <f t="shared" si="14"/>
        <v/>
      </c>
      <c r="J30" s="63" t="str">
        <f t="shared" si="14"/>
        <v/>
      </c>
      <c r="K30" s="63" t="str">
        <f t="shared" si="14"/>
        <v/>
      </c>
      <c r="L30" s="63" t="str">
        <f t="shared" si="14"/>
        <v/>
      </c>
      <c r="M30" s="63" t="str">
        <f t="shared" si="14"/>
        <v/>
      </c>
      <c r="N30" s="63" t="str">
        <f t="shared" si="14"/>
        <v/>
      </c>
      <c r="O30" s="63" t="str">
        <f t="shared" si="14"/>
        <v/>
      </c>
      <c r="P30" s="63" t="str">
        <f t="shared" si="14"/>
        <v/>
      </c>
      <c r="Q30" s="63" t="str">
        <f t="shared" si="14"/>
        <v/>
      </c>
      <c r="R30" s="63" t="str">
        <f t="shared" si="15"/>
        <v/>
      </c>
      <c r="S30" s="64" t="str">
        <f t="shared" si="15"/>
        <v/>
      </c>
      <c r="T30" s="65" t="str">
        <f t="shared" si="15"/>
        <v/>
      </c>
      <c r="U30" s="63" t="str">
        <f t="shared" si="15"/>
        <v/>
      </c>
      <c r="V30" s="63" t="str">
        <f t="shared" si="15"/>
        <v/>
      </c>
      <c r="W30" s="63" t="str">
        <f t="shared" si="15"/>
        <v/>
      </c>
      <c r="X30" s="63" t="str">
        <f t="shared" si="15"/>
        <v/>
      </c>
      <c r="Y30" s="63" t="str">
        <f t="shared" si="15"/>
        <v/>
      </c>
      <c r="Z30" s="63" t="str">
        <f t="shared" si="15"/>
        <v/>
      </c>
      <c r="AA30" s="63" t="str">
        <f t="shared" si="15"/>
        <v/>
      </c>
      <c r="AB30" s="63" t="str">
        <f t="shared" si="16"/>
        <v/>
      </c>
      <c r="AC30" s="63" t="str">
        <f t="shared" si="16"/>
        <v/>
      </c>
      <c r="AD30" s="63" t="str">
        <f t="shared" si="16"/>
        <v/>
      </c>
      <c r="AE30" s="64" t="str">
        <f t="shared" si="16"/>
        <v/>
      </c>
      <c r="AF30" s="65" t="str">
        <f t="shared" si="16"/>
        <v/>
      </c>
      <c r="AG30" s="63" t="str">
        <f t="shared" si="16"/>
        <v/>
      </c>
      <c r="AH30" s="63" t="str">
        <f t="shared" si="16"/>
        <v/>
      </c>
      <c r="AI30" s="63" t="str">
        <f t="shared" si="16"/>
        <v/>
      </c>
      <c r="AJ30" s="63" t="str">
        <f t="shared" si="16"/>
        <v/>
      </c>
      <c r="AK30" s="63" t="str">
        <f t="shared" si="16"/>
        <v/>
      </c>
      <c r="AL30" s="63" t="str">
        <f t="shared" si="17"/>
        <v/>
      </c>
      <c r="AM30" s="63" t="str">
        <f t="shared" si="17"/>
        <v/>
      </c>
      <c r="AN30" s="63" t="str">
        <f t="shared" si="17"/>
        <v/>
      </c>
      <c r="AO30" s="63" t="str">
        <f t="shared" si="17"/>
        <v/>
      </c>
      <c r="AP30" s="63" t="str">
        <f t="shared" si="17"/>
        <v/>
      </c>
      <c r="AQ30" s="64" t="str">
        <f t="shared" si="17"/>
        <v/>
      </c>
      <c r="AR30" s="2"/>
      <c r="AS30" s="58"/>
      <c r="AU30" s="2"/>
    </row>
    <row r="31" spans="1:48" s="3" customFormat="1" ht="16.5" customHeight="1" outlineLevel="1">
      <c r="A31" s="2"/>
      <c r="B31" s="13" t="s">
        <v>84</v>
      </c>
      <c r="C31" s="14" t="s">
        <v>85</v>
      </c>
      <c r="D31" s="15" t="s">
        <v>27</v>
      </c>
      <c r="E31" s="15" t="s">
        <v>72</v>
      </c>
      <c r="F31" s="1">
        <v>17</v>
      </c>
      <c r="G31" s="1">
        <v>21</v>
      </c>
      <c r="H31" s="63" t="str">
        <f t="shared" si="14"/>
        <v/>
      </c>
      <c r="I31" s="63" t="str">
        <f t="shared" si="14"/>
        <v/>
      </c>
      <c r="J31" s="63" t="str">
        <f t="shared" si="14"/>
        <v/>
      </c>
      <c r="K31" s="63" t="str">
        <f t="shared" si="14"/>
        <v/>
      </c>
      <c r="L31" s="63" t="str">
        <f t="shared" si="14"/>
        <v/>
      </c>
      <c r="M31" s="63" t="str">
        <f t="shared" si="14"/>
        <v/>
      </c>
      <c r="N31" s="63" t="str">
        <f t="shared" si="14"/>
        <v/>
      </c>
      <c r="O31" s="63" t="str">
        <f t="shared" si="14"/>
        <v/>
      </c>
      <c r="P31" s="63" t="str">
        <f t="shared" si="14"/>
        <v/>
      </c>
      <c r="Q31" s="63" t="str">
        <f t="shared" si="14"/>
        <v/>
      </c>
      <c r="R31" s="63" t="str">
        <f t="shared" si="15"/>
        <v/>
      </c>
      <c r="S31" s="64" t="str">
        <f t="shared" si="15"/>
        <v/>
      </c>
      <c r="T31" s="65" t="str">
        <f t="shared" si="15"/>
        <v/>
      </c>
      <c r="U31" s="63" t="str">
        <f t="shared" si="15"/>
        <v/>
      </c>
      <c r="V31" s="63" t="str">
        <f t="shared" si="15"/>
        <v/>
      </c>
      <c r="W31" s="63" t="str">
        <f t="shared" si="15"/>
        <v/>
      </c>
      <c r="X31" s="63" t="str">
        <f t="shared" si="15"/>
        <v/>
      </c>
      <c r="Y31" s="63" t="str">
        <f t="shared" si="15"/>
        <v/>
      </c>
      <c r="Z31" s="63" t="str">
        <f t="shared" si="15"/>
        <v/>
      </c>
      <c r="AA31" s="63" t="str">
        <f t="shared" si="15"/>
        <v/>
      </c>
      <c r="AB31" s="63" t="str">
        <f t="shared" si="16"/>
        <v/>
      </c>
      <c r="AC31" s="63" t="str">
        <f t="shared" si="16"/>
        <v/>
      </c>
      <c r="AD31" s="63" t="str">
        <f t="shared" si="16"/>
        <v/>
      </c>
      <c r="AE31" s="64" t="str">
        <f t="shared" si="16"/>
        <v/>
      </c>
      <c r="AF31" s="65" t="str">
        <f t="shared" si="16"/>
        <v/>
      </c>
      <c r="AG31" s="63" t="str">
        <f t="shared" si="16"/>
        <v/>
      </c>
      <c r="AH31" s="63" t="str">
        <f t="shared" si="16"/>
        <v/>
      </c>
      <c r="AI31" s="63" t="str">
        <f t="shared" si="16"/>
        <v/>
      </c>
      <c r="AJ31" s="63" t="str">
        <f t="shared" si="16"/>
        <v/>
      </c>
      <c r="AK31" s="63" t="str">
        <f t="shared" si="16"/>
        <v/>
      </c>
      <c r="AL31" s="63" t="str">
        <f t="shared" si="17"/>
        <v/>
      </c>
      <c r="AM31" s="63" t="str">
        <f t="shared" si="17"/>
        <v/>
      </c>
      <c r="AN31" s="63" t="str">
        <f t="shared" si="17"/>
        <v/>
      </c>
      <c r="AO31" s="63" t="str">
        <f t="shared" si="17"/>
        <v/>
      </c>
      <c r="AP31" s="63" t="str">
        <f t="shared" si="17"/>
        <v/>
      </c>
      <c r="AQ31" s="64" t="str">
        <f t="shared" si="17"/>
        <v/>
      </c>
      <c r="AR31" s="2"/>
      <c r="AS31" s="58"/>
      <c r="AU31" s="2"/>
    </row>
    <row r="32" spans="1:48" s="3" customFormat="1" ht="16.5" customHeight="1" outlineLevel="2">
      <c r="A32" s="2"/>
      <c r="B32" s="38" t="s">
        <v>86</v>
      </c>
      <c r="C32" s="43" t="s">
        <v>87</v>
      </c>
      <c r="D32" s="44" t="s">
        <v>37</v>
      </c>
      <c r="E32" s="44" t="s">
        <v>72</v>
      </c>
      <c r="F32" s="39">
        <v>5</v>
      </c>
      <c r="G32" s="39">
        <f>F32</f>
        <v>5</v>
      </c>
      <c r="H32" s="66" t="str">
        <f t="shared" si="14"/>
        <v/>
      </c>
      <c r="I32" s="66" t="str">
        <f t="shared" si="14"/>
        <v/>
      </c>
      <c r="J32" s="66" t="str">
        <f t="shared" si="14"/>
        <v/>
      </c>
      <c r="K32" s="66" t="str">
        <f t="shared" si="14"/>
        <v/>
      </c>
      <c r="L32" s="66">
        <f t="shared" si="14"/>
        <v>2</v>
      </c>
      <c r="M32" s="66" t="str">
        <f t="shared" si="14"/>
        <v/>
      </c>
      <c r="N32" s="66" t="str">
        <f t="shared" si="14"/>
        <v/>
      </c>
      <c r="O32" s="66" t="str">
        <f t="shared" si="14"/>
        <v/>
      </c>
      <c r="P32" s="66" t="str">
        <f t="shared" si="14"/>
        <v/>
      </c>
      <c r="Q32" s="66" t="str">
        <f t="shared" si="14"/>
        <v/>
      </c>
      <c r="R32" s="66" t="str">
        <f t="shared" si="15"/>
        <v/>
      </c>
      <c r="S32" s="67" t="str">
        <f t="shared" si="15"/>
        <v/>
      </c>
      <c r="T32" s="68" t="str">
        <f t="shared" si="15"/>
        <v/>
      </c>
      <c r="U32" s="66" t="str">
        <f t="shared" si="15"/>
        <v/>
      </c>
      <c r="V32" s="66" t="str">
        <f t="shared" si="15"/>
        <v/>
      </c>
      <c r="W32" s="66" t="str">
        <f t="shared" si="15"/>
        <v/>
      </c>
      <c r="X32" s="66" t="str">
        <f t="shared" si="15"/>
        <v/>
      </c>
      <c r="Y32" s="66" t="str">
        <f t="shared" si="15"/>
        <v/>
      </c>
      <c r="Z32" s="66" t="str">
        <f t="shared" si="15"/>
        <v/>
      </c>
      <c r="AA32" s="66" t="str">
        <f t="shared" si="15"/>
        <v/>
      </c>
      <c r="AB32" s="66" t="str">
        <f t="shared" si="16"/>
        <v/>
      </c>
      <c r="AC32" s="66" t="str">
        <f t="shared" si="16"/>
        <v/>
      </c>
      <c r="AD32" s="66" t="str">
        <f t="shared" si="16"/>
        <v/>
      </c>
      <c r="AE32" s="67" t="str">
        <f t="shared" si="16"/>
        <v/>
      </c>
      <c r="AF32" s="68" t="str">
        <f t="shared" si="16"/>
        <v/>
      </c>
      <c r="AG32" s="66" t="str">
        <f t="shared" si="16"/>
        <v/>
      </c>
      <c r="AH32" s="66" t="str">
        <f t="shared" si="16"/>
        <v/>
      </c>
      <c r="AI32" s="66" t="str">
        <f t="shared" si="16"/>
        <v/>
      </c>
      <c r="AJ32" s="66" t="str">
        <f t="shared" si="16"/>
        <v/>
      </c>
      <c r="AK32" s="66" t="str">
        <f t="shared" si="16"/>
        <v/>
      </c>
      <c r="AL32" s="66" t="str">
        <f t="shared" si="17"/>
        <v/>
      </c>
      <c r="AM32" s="66" t="str">
        <f t="shared" si="17"/>
        <v/>
      </c>
      <c r="AN32" s="66" t="str">
        <f t="shared" si="17"/>
        <v/>
      </c>
      <c r="AO32" s="66" t="str">
        <f t="shared" si="17"/>
        <v/>
      </c>
      <c r="AP32" s="66" t="str">
        <f t="shared" si="17"/>
        <v/>
      </c>
      <c r="AQ32" s="67" t="str">
        <f t="shared" si="17"/>
        <v/>
      </c>
      <c r="AR32" s="61"/>
      <c r="AS32" s="42" t="s">
        <v>77</v>
      </c>
      <c r="AT32" s="3" t="s">
        <v>88</v>
      </c>
      <c r="AU32" s="2"/>
      <c r="AV32" s="3" t="s">
        <v>39</v>
      </c>
    </row>
    <row r="33" spans="1:48" s="3" customFormat="1" ht="16.5" customHeight="1" outlineLevel="2">
      <c r="A33" s="2"/>
      <c r="B33" s="36" t="s">
        <v>89</v>
      </c>
      <c r="C33" s="37" t="s">
        <v>90</v>
      </c>
      <c r="D33" s="45" t="s">
        <v>37</v>
      </c>
      <c r="E33" s="45" t="s">
        <v>72</v>
      </c>
      <c r="F33" s="40">
        <v>12</v>
      </c>
      <c r="G33" s="40">
        <f t="shared" ref="G33:G34" si="18">F33</f>
        <v>12</v>
      </c>
      <c r="H33" s="66" t="str">
        <f t="shared" si="14"/>
        <v/>
      </c>
      <c r="I33" s="66" t="str">
        <f t="shared" si="14"/>
        <v/>
      </c>
      <c r="J33" s="66" t="str">
        <f t="shared" si="14"/>
        <v/>
      </c>
      <c r="K33" s="66" t="str">
        <f t="shared" si="14"/>
        <v/>
      </c>
      <c r="L33" s="66" t="str">
        <f t="shared" si="14"/>
        <v/>
      </c>
      <c r="M33" s="66" t="str">
        <f t="shared" si="14"/>
        <v/>
      </c>
      <c r="N33" s="66" t="str">
        <f t="shared" si="14"/>
        <v/>
      </c>
      <c r="O33" s="66" t="str">
        <f t="shared" si="14"/>
        <v/>
      </c>
      <c r="P33" s="66" t="str">
        <f t="shared" si="14"/>
        <v/>
      </c>
      <c r="Q33" s="66" t="str">
        <f t="shared" si="14"/>
        <v/>
      </c>
      <c r="R33" s="66" t="str">
        <f t="shared" si="15"/>
        <v/>
      </c>
      <c r="S33" s="67">
        <f t="shared" si="15"/>
        <v>2</v>
      </c>
      <c r="T33" s="68" t="str">
        <f t="shared" si="15"/>
        <v/>
      </c>
      <c r="U33" s="66" t="str">
        <f t="shared" si="15"/>
        <v/>
      </c>
      <c r="V33" s="66" t="str">
        <f t="shared" si="15"/>
        <v/>
      </c>
      <c r="W33" s="66" t="str">
        <f t="shared" si="15"/>
        <v/>
      </c>
      <c r="X33" s="66" t="str">
        <f t="shared" si="15"/>
        <v/>
      </c>
      <c r="Y33" s="66" t="str">
        <f t="shared" si="15"/>
        <v/>
      </c>
      <c r="Z33" s="66" t="str">
        <f t="shared" si="15"/>
        <v/>
      </c>
      <c r="AA33" s="66" t="str">
        <f t="shared" si="15"/>
        <v/>
      </c>
      <c r="AB33" s="66" t="str">
        <f t="shared" si="16"/>
        <v/>
      </c>
      <c r="AC33" s="66" t="str">
        <f t="shared" si="16"/>
        <v/>
      </c>
      <c r="AD33" s="66" t="str">
        <f t="shared" si="16"/>
        <v/>
      </c>
      <c r="AE33" s="67" t="str">
        <f t="shared" si="16"/>
        <v/>
      </c>
      <c r="AF33" s="68" t="str">
        <f t="shared" si="16"/>
        <v/>
      </c>
      <c r="AG33" s="66" t="str">
        <f t="shared" si="16"/>
        <v/>
      </c>
      <c r="AH33" s="66" t="str">
        <f t="shared" si="16"/>
        <v/>
      </c>
      <c r="AI33" s="66" t="str">
        <f t="shared" si="16"/>
        <v/>
      </c>
      <c r="AJ33" s="66" t="str">
        <f t="shared" si="16"/>
        <v/>
      </c>
      <c r="AK33" s="66" t="str">
        <f t="shared" si="16"/>
        <v/>
      </c>
      <c r="AL33" s="66" t="str">
        <f t="shared" si="17"/>
        <v/>
      </c>
      <c r="AM33" s="66" t="str">
        <f t="shared" si="17"/>
        <v/>
      </c>
      <c r="AN33" s="66" t="str">
        <f t="shared" si="17"/>
        <v/>
      </c>
      <c r="AO33" s="66" t="str">
        <f t="shared" si="17"/>
        <v/>
      </c>
      <c r="AP33" s="66" t="str">
        <f t="shared" si="17"/>
        <v/>
      </c>
      <c r="AQ33" s="67" t="str">
        <f t="shared" si="17"/>
        <v/>
      </c>
      <c r="AR33" s="60"/>
      <c r="AS33" s="42" t="s">
        <v>77</v>
      </c>
      <c r="AT33" s="3" t="s">
        <v>38</v>
      </c>
      <c r="AU33" s="2"/>
      <c r="AV33" s="3" t="s">
        <v>39</v>
      </c>
    </row>
    <row r="34" spans="1:48" ht="16.5" customHeight="1" outlineLevel="2">
      <c r="B34" s="36" t="s">
        <v>91</v>
      </c>
      <c r="C34" s="37" t="s">
        <v>92</v>
      </c>
      <c r="D34" s="45" t="s">
        <v>37</v>
      </c>
      <c r="E34" s="45" t="s">
        <v>72</v>
      </c>
      <c r="F34" s="40">
        <v>21</v>
      </c>
      <c r="G34" s="40">
        <f t="shared" si="18"/>
        <v>21</v>
      </c>
      <c r="H34" s="66" t="str">
        <f t="shared" si="14"/>
        <v/>
      </c>
      <c r="I34" s="66" t="str">
        <f t="shared" si="14"/>
        <v/>
      </c>
      <c r="J34" s="66" t="str">
        <f t="shared" si="14"/>
        <v/>
      </c>
      <c r="K34" s="66" t="str">
        <f t="shared" si="14"/>
        <v/>
      </c>
      <c r="L34" s="66" t="str">
        <f t="shared" si="14"/>
        <v/>
      </c>
      <c r="M34" s="66" t="str">
        <f t="shared" si="14"/>
        <v/>
      </c>
      <c r="N34" s="66" t="str">
        <f t="shared" si="14"/>
        <v/>
      </c>
      <c r="O34" s="66" t="str">
        <f t="shared" si="14"/>
        <v/>
      </c>
      <c r="P34" s="66" t="str">
        <f t="shared" si="14"/>
        <v/>
      </c>
      <c r="Q34" s="66" t="str">
        <f t="shared" si="14"/>
        <v/>
      </c>
      <c r="R34" s="66" t="str">
        <f t="shared" si="15"/>
        <v/>
      </c>
      <c r="S34" s="67" t="str">
        <f t="shared" si="15"/>
        <v/>
      </c>
      <c r="T34" s="68" t="str">
        <f t="shared" si="15"/>
        <v/>
      </c>
      <c r="U34" s="66" t="str">
        <f t="shared" si="15"/>
        <v/>
      </c>
      <c r="V34" s="66" t="str">
        <f t="shared" si="15"/>
        <v/>
      </c>
      <c r="W34" s="66" t="str">
        <f t="shared" si="15"/>
        <v/>
      </c>
      <c r="X34" s="66" t="str">
        <f t="shared" si="15"/>
        <v/>
      </c>
      <c r="Y34" s="66" t="str">
        <f t="shared" si="15"/>
        <v/>
      </c>
      <c r="Z34" s="66" t="str">
        <f t="shared" si="15"/>
        <v/>
      </c>
      <c r="AA34" s="66" t="str">
        <f t="shared" si="15"/>
        <v/>
      </c>
      <c r="AB34" s="66">
        <f t="shared" si="16"/>
        <v>2</v>
      </c>
      <c r="AC34" s="66" t="str">
        <f t="shared" si="16"/>
        <v/>
      </c>
      <c r="AD34" s="66" t="str">
        <f t="shared" si="16"/>
        <v/>
      </c>
      <c r="AE34" s="67" t="str">
        <f t="shared" si="16"/>
        <v/>
      </c>
      <c r="AF34" s="68" t="str">
        <f t="shared" si="16"/>
        <v/>
      </c>
      <c r="AG34" s="66" t="str">
        <f t="shared" si="16"/>
        <v/>
      </c>
      <c r="AH34" s="66" t="str">
        <f t="shared" si="16"/>
        <v/>
      </c>
      <c r="AI34" s="66" t="str">
        <f t="shared" si="16"/>
        <v/>
      </c>
      <c r="AJ34" s="66" t="str">
        <f t="shared" si="16"/>
        <v/>
      </c>
      <c r="AK34" s="66" t="str">
        <f t="shared" si="16"/>
        <v/>
      </c>
      <c r="AL34" s="66" t="str">
        <f t="shared" si="17"/>
        <v/>
      </c>
      <c r="AM34" s="66" t="str">
        <f t="shared" si="17"/>
        <v/>
      </c>
      <c r="AN34" s="66" t="str">
        <f t="shared" si="17"/>
        <v/>
      </c>
      <c r="AO34" s="66" t="str">
        <f t="shared" si="17"/>
        <v/>
      </c>
      <c r="AP34" s="66" t="str">
        <f t="shared" si="17"/>
        <v/>
      </c>
      <c r="AQ34" s="67" t="str">
        <f t="shared" si="17"/>
        <v/>
      </c>
      <c r="AR34" s="60"/>
      <c r="AS34" s="42" t="s">
        <v>93</v>
      </c>
      <c r="AT34" s="3" t="s">
        <v>38</v>
      </c>
    </row>
    <row r="35" spans="1:48" ht="16.5" customHeight="1" outlineLevel="1">
      <c r="B35" s="46" t="s">
        <v>94</v>
      </c>
      <c r="C35" s="47" t="s">
        <v>95</v>
      </c>
      <c r="D35" s="48" t="s">
        <v>47</v>
      </c>
      <c r="E35" s="48" t="s">
        <v>72</v>
      </c>
      <c r="F35" s="41">
        <v>21</v>
      </c>
      <c r="G35" s="41">
        <v>21</v>
      </c>
      <c r="H35" s="66" t="str">
        <f t="shared" si="14"/>
        <v/>
      </c>
      <c r="I35" s="66" t="str">
        <f t="shared" si="14"/>
        <v/>
      </c>
      <c r="J35" s="66" t="str">
        <f t="shared" si="14"/>
        <v/>
      </c>
      <c r="K35" s="66" t="str">
        <f t="shared" si="14"/>
        <v/>
      </c>
      <c r="L35" s="66" t="str">
        <f t="shared" si="14"/>
        <v/>
      </c>
      <c r="M35" s="66" t="str">
        <f t="shared" si="14"/>
        <v/>
      </c>
      <c r="N35" s="66" t="str">
        <f t="shared" si="14"/>
        <v/>
      </c>
      <c r="O35" s="66" t="str">
        <f t="shared" si="14"/>
        <v/>
      </c>
      <c r="P35" s="66" t="str">
        <f t="shared" si="14"/>
        <v/>
      </c>
      <c r="Q35" s="66" t="str">
        <f t="shared" si="14"/>
        <v/>
      </c>
      <c r="R35" s="66" t="str">
        <f t="shared" si="15"/>
        <v/>
      </c>
      <c r="S35" s="67" t="str">
        <f t="shared" si="15"/>
        <v/>
      </c>
      <c r="T35" s="68" t="str">
        <f t="shared" si="15"/>
        <v/>
      </c>
      <c r="U35" s="66" t="str">
        <f t="shared" si="15"/>
        <v/>
      </c>
      <c r="V35" s="66" t="str">
        <f t="shared" si="15"/>
        <v/>
      </c>
      <c r="W35" s="66" t="str">
        <f t="shared" si="15"/>
        <v/>
      </c>
      <c r="X35" s="66" t="str">
        <f t="shared" si="15"/>
        <v/>
      </c>
      <c r="Y35" s="66" t="str">
        <f t="shared" si="15"/>
        <v/>
      </c>
      <c r="Z35" s="66" t="str">
        <f t="shared" si="15"/>
        <v/>
      </c>
      <c r="AA35" s="66" t="str">
        <f t="shared" si="15"/>
        <v/>
      </c>
      <c r="AB35" s="66">
        <f t="shared" si="16"/>
        <v>1</v>
      </c>
      <c r="AC35" s="66" t="str">
        <f t="shared" si="16"/>
        <v/>
      </c>
      <c r="AD35" s="66" t="str">
        <f t="shared" si="16"/>
        <v/>
      </c>
      <c r="AE35" s="67" t="str">
        <f t="shared" si="16"/>
        <v/>
      </c>
      <c r="AF35" s="68" t="str">
        <f t="shared" si="16"/>
        <v/>
      </c>
      <c r="AG35" s="66" t="str">
        <f t="shared" si="16"/>
        <v/>
      </c>
      <c r="AH35" s="66" t="str">
        <f t="shared" si="16"/>
        <v/>
      </c>
      <c r="AI35" s="66" t="str">
        <f t="shared" si="16"/>
        <v/>
      </c>
      <c r="AJ35" s="66" t="str">
        <f t="shared" si="16"/>
        <v/>
      </c>
      <c r="AK35" s="66" t="str">
        <f t="shared" si="16"/>
        <v/>
      </c>
      <c r="AL35" s="66" t="str">
        <f t="shared" si="17"/>
        <v/>
      </c>
      <c r="AM35" s="66" t="str">
        <f t="shared" si="17"/>
        <v/>
      </c>
      <c r="AN35" s="66" t="str">
        <f t="shared" si="17"/>
        <v/>
      </c>
      <c r="AO35" s="66" t="str">
        <f t="shared" si="17"/>
        <v/>
      </c>
      <c r="AP35" s="66" t="str">
        <f t="shared" si="17"/>
        <v/>
      </c>
      <c r="AQ35" s="67" t="str">
        <f t="shared" si="17"/>
        <v/>
      </c>
      <c r="AR35" s="62"/>
      <c r="AS35" s="42" t="s">
        <v>77</v>
      </c>
    </row>
    <row r="36" spans="1:48" ht="16.5" customHeight="1">
      <c r="B36" s="8" t="s">
        <v>96</v>
      </c>
      <c r="C36" s="9" t="s">
        <v>97</v>
      </c>
      <c r="D36" s="10" t="s">
        <v>23</v>
      </c>
      <c r="E36" s="10" t="s">
        <v>77</v>
      </c>
      <c r="F36" s="11">
        <f>MIN(F37:F45)</f>
        <v>6</v>
      </c>
      <c r="G36" s="11">
        <f>MAX(G37:G45)</f>
        <v>36</v>
      </c>
      <c r="H36" s="63" t="str">
        <f t="shared" si="14"/>
        <v/>
      </c>
      <c r="I36" s="63" t="str">
        <f t="shared" si="14"/>
        <v/>
      </c>
      <c r="J36" s="63" t="str">
        <f t="shared" si="14"/>
        <v/>
      </c>
      <c r="K36" s="63" t="str">
        <f t="shared" si="14"/>
        <v/>
      </c>
      <c r="L36" s="63" t="str">
        <f t="shared" si="14"/>
        <v/>
      </c>
      <c r="M36" s="63" t="str">
        <f t="shared" si="14"/>
        <v/>
      </c>
      <c r="N36" s="63" t="str">
        <f t="shared" si="14"/>
        <v/>
      </c>
      <c r="O36" s="63" t="str">
        <f t="shared" si="14"/>
        <v/>
      </c>
      <c r="P36" s="63" t="str">
        <f t="shared" si="14"/>
        <v/>
      </c>
      <c r="Q36" s="63" t="str">
        <f t="shared" si="14"/>
        <v/>
      </c>
      <c r="R36" s="63" t="str">
        <f t="shared" si="15"/>
        <v/>
      </c>
      <c r="S36" s="64" t="str">
        <f t="shared" si="15"/>
        <v/>
      </c>
      <c r="T36" s="65" t="str">
        <f t="shared" si="15"/>
        <v/>
      </c>
      <c r="U36" s="63" t="str">
        <f t="shared" si="15"/>
        <v/>
      </c>
      <c r="V36" s="63" t="str">
        <f t="shared" si="15"/>
        <v/>
      </c>
      <c r="W36" s="63" t="str">
        <f t="shared" si="15"/>
        <v/>
      </c>
      <c r="X36" s="63" t="str">
        <f t="shared" si="15"/>
        <v/>
      </c>
      <c r="Y36" s="63" t="str">
        <f t="shared" si="15"/>
        <v/>
      </c>
      <c r="Z36" s="63" t="str">
        <f t="shared" si="15"/>
        <v/>
      </c>
      <c r="AA36" s="63" t="str">
        <f t="shared" si="15"/>
        <v/>
      </c>
      <c r="AB36" s="63" t="str">
        <f t="shared" si="16"/>
        <v/>
      </c>
      <c r="AC36" s="63" t="str">
        <f t="shared" si="16"/>
        <v/>
      </c>
      <c r="AD36" s="63" t="str">
        <f t="shared" si="16"/>
        <v/>
      </c>
      <c r="AE36" s="64" t="str">
        <f t="shared" si="16"/>
        <v/>
      </c>
      <c r="AF36" s="65" t="str">
        <f t="shared" si="16"/>
        <v/>
      </c>
      <c r="AG36" s="63" t="str">
        <f t="shared" si="16"/>
        <v/>
      </c>
      <c r="AH36" s="63" t="str">
        <f t="shared" si="16"/>
        <v/>
      </c>
      <c r="AI36" s="63" t="str">
        <f t="shared" si="16"/>
        <v/>
      </c>
      <c r="AJ36" s="63" t="str">
        <f t="shared" si="16"/>
        <v/>
      </c>
      <c r="AK36" s="63" t="str">
        <f t="shared" si="16"/>
        <v/>
      </c>
      <c r="AL36" s="63" t="str">
        <f t="shared" si="17"/>
        <v/>
      </c>
      <c r="AM36" s="63" t="str">
        <f t="shared" si="17"/>
        <v/>
      </c>
      <c r="AN36" s="63" t="str">
        <f t="shared" si="17"/>
        <v/>
      </c>
      <c r="AO36" s="63" t="str">
        <f t="shared" si="17"/>
        <v/>
      </c>
      <c r="AP36" s="63" t="str">
        <f t="shared" si="17"/>
        <v/>
      </c>
      <c r="AQ36" s="64" t="str">
        <f t="shared" si="17"/>
        <v/>
      </c>
      <c r="AS36" s="58"/>
    </row>
    <row r="37" spans="1:48" ht="16.5" customHeight="1" outlineLevel="1">
      <c r="B37" s="13" t="s">
        <v>98</v>
      </c>
      <c r="C37" s="22" t="s">
        <v>99</v>
      </c>
      <c r="D37" s="15" t="s">
        <v>27</v>
      </c>
      <c r="E37" s="15" t="s">
        <v>77</v>
      </c>
      <c r="F37" s="1">
        <v>6</v>
      </c>
      <c r="G37" s="1">
        <v>12</v>
      </c>
      <c r="H37" s="63" t="str">
        <f t="shared" si="14"/>
        <v/>
      </c>
      <c r="I37" s="63" t="str">
        <f t="shared" si="14"/>
        <v/>
      </c>
      <c r="J37" s="63" t="str">
        <f t="shared" si="14"/>
        <v/>
      </c>
      <c r="K37" s="63" t="str">
        <f t="shared" si="14"/>
        <v/>
      </c>
      <c r="L37" s="63" t="str">
        <f t="shared" si="14"/>
        <v/>
      </c>
      <c r="M37" s="63" t="str">
        <f t="shared" si="14"/>
        <v/>
      </c>
      <c r="N37" s="63" t="str">
        <f t="shared" si="14"/>
        <v/>
      </c>
      <c r="O37" s="63" t="str">
        <f t="shared" si="14"/>
        <v/>
      </c>
      <c r="P37" s="63" t="str">
        <f t="shared" si="14"/>
        <v/>
      </c>
      <c r="Q37" s="63" t="str">
        <f t="shared" si="14"/>
        <v/>
      </c>
      <c r="R37" s="63" t="str">
        <f t="shared" si="15"/>
        <v/>
      </c>
      <c r="S37" s="64" t="str">
        <f t="shared" si="15"/>
        <v/>
      </c>
      <c r="T37" s="65" t="str">
        <f t="shared" si="15"/>
        <v/>
      </c>
      <c r="U37" s="63" t="str">
        <f t="shared" si="15"/>
        <v/>
      </c>
      <c r="V37" s="63" t="str">
        <f t="shared" si="15"/>
        <v/>
      </c>
      <c r="W37" s="63" t="str">
        <f t="shared" si="15"/>
        <v/>
      </c>
      <c r="X37" s="63" t="str">
        <f t="shared" si="15"/>
        <v/>
      </c>
      <c r="Y37" s="63" t="str">
        <f t="shared" si="15"/>
        <v/>
      </c>
      <c r="Z37" s="63" t="str">
        <f t="shared" si="15"/>
        <v/>
      </c>
      <c r="AA37" s="63" t="str">
        <f t="shared" si="15"/>
        <v/>
      </c>
      <c r="AB37" s="63" t="str">
        <f t="shared" si="16"/>
        <v/>
      </c>
      <c r="AC37" s="63" t="str">
        <f t="shared" si="16"/>
        <v/>
      </c>
      <c r="AD37" s="63" t="str">
        <f t="shared" si="16"/>
        <v/>
      </c>
      <c r="AE37" s="64" t="str">
        <f t="shared" si="16"/>
        <v/>
      </c>
      <c r="AF37" s="65" t="str">
        <f t="shared" si="16"/>
        <v/>
      </c>
      <c r="AG37" s="63" t="str">
        <f t="shared" si="16"/>
        <v/>
      </c>
      <c r="AH37" s="63" t="str">
        <f t="shared" si="16"/>
        <v/>
      </c>
      <c r="AI37" s="63" t="str">
        <f t="shared" si="16"/>
        <v/>
      </c>
      <c r="AJ37" s="63" t="str">
        <f t="shared" si="16"/>
        <v/>
      </c>
      <c r="AK37" s="63" t="str">
        <f t="shared" si="16"/>
        <v/>
      </c>
      <c r="AL37" s="63" t="str">
        <f t="shared" si="17"/>
        <v/>
      </c>
      <c r="AM37" s="63" t="str">
        <f t="shared" si="17"/>
        <v/>
      </c>
      <c r="AN37" s="63" t="str">
        <f t="shared" si="17"/>
        <v/>
      </c>
      <c r="AO37" s="63" t="str">
        <f t="shared" si="17"/>
        <v/>
      </c>
      <c r="AP37" s="63" t="str">
        <f t="shared" si="17"/>
        <v/>
      </c>
      <c r="AQ37" s="64" t="str">
        <f t="shared" si="17"/>
        <v/>
      </c>
      <c r="AS37" s="58"/>
    </row>
    <row r="38" spans="1:48" ht="16.5" customHeight="1" outlineLevel="1">
      <c r="B38" s="13" t="s">
        <v>100</v>
      </c>
      <c r="C38" s="14" t="s">
        <v>101</v>
      </c>
      <c r="D38" s="15" t="s">
        <v>27</v>
      </c>
      <c r="E38" s="15" t="s">
        <v>77</v>
      </c>
      <c r="F38" s="1">
        <v>12</v>
      </c>
      <c r="G38" s="1">
        <v>24</v>
      </c>
      <c r="H38" s="63" t="str">
        <f t="shared" si="14"/>
        <v/>
      </c>
      <c r="I38" s="63" t="str">
        <f t="shared" si="14"/>
        <v/>
      </c>
      <c r="J38" s="63" t="str">
        <f t="shared" si="14"/>
        <v/>
      </c>
      <c r="K38" s="63" t="str">
        <f t="shared" si="14"/>
        <v/>
      </c>
      <c r="L38" s="63" t="str">
        <f t="shared" si="14"/>
        <v/>
      </c>
      <c r="M38" s="63" t="str">
        <f t="shared" si="14"/>
        <v/>
      </c>
      <c r="N38" s="63" t="str">
        <f t="shared" si="14"/>
        <v/>
      </c>
      <c r="O38" s="63" t="str">
        <f t="shared" si="14"/>
        <v/>
      </c>
      <c r="P38" s="63" t="str">
        <f t="shared" si="14"/>
        <v/>
      </c>
      <c r="Q38" s="63" t="str">
        <f t="shared" si="14"/>
        <v/>
      </c>
      <c r="R38" s="63" t="str">
        <f t="shared" si="15"/>
        <v/>
      </c>
      <c r="S38" s="64" t="str">
        <f t="shared" si="15"/>
        <v/>
      </c>
      <c r="T38" s="65" t="str">
        <f t="shared" si="15"/>
        <v/>
      </c>
      <c r="U38" s="63" t="str">
        <f t="shared" si="15"/>
        <v/>
      </c>
      <c r="V38" s="63" t="str">
        <f t="shared" si="15"/>
        <v/>
      </c>
      <c r="W38" s="63" t="str">
        <f t="shared" si="15"/>
        <v/>
      </c>
      <c r="X38" s="63" t="str">
        <f t="shared" si="15"/>
        <v/>
      </c>
      <c r="Y38" s="63" t="str">
        <f t="shared" si="15"/>
        <v/>
      </c>
      <c r="Z38" s="63" t="str">
        <f t="shared" si="15"/>
        <v/>
      </c>
      <c r="AA38" s="63" t="str">
        <f t="shared" si="15"/>
        <v/>
      </c>
      <c r="AB38" s="63" t="str">
        <f t="shared" si="16"/>
        <v/>
      </c>
      <c r="AC38" s="63" t="str">
        <f t="shared" si="16"/>
        <v/>
      </c>
      <c r="AD38" s="63" t="str">
        <f t="shared" si="16"/>
        <v/>
      </c>
      <c r="AE38" s="64" t="str">
        <f t="shared" si="16"/>
        <v/>
      </c>
      <c r="AF38" s="65" t="str">
        <f t="shared" si="16"/>
        <v/>
      </c>
      <c r="AG38" s="63" t="str">
        <f t="shared" si="16"/>
        <v/>
      </c>
      <c r="AH38" s="63" t="str">
        <f t="shared" si="16"/>
        <v/>
      </c>
      <c r="AI38" s="63" t="str">
        <f t="shared" si="16"/>
        <v/>
      </c>
      <c r="AJ38" s="63" t="str">
        <f t="shared" si="16"/>
        <v/>
      </c>
      <c r="AK38" s="63" t="str">
        <f t="shared" si="16"/>
        <v/>
      </c>
      <c r="AL38" s="63" t="str">
        <f t="shared" si="17"/>
        <v/>
      </c>
      <c r="AM38" s="63" t="str">
        <f t="shared" si="17"/>
        <v/>
      </c>
      <c r="AN38" s="63" t="str">
        <f t="shared" si="17"/>
        <v/>
      </c>
      <c r="AO38" s="63" t="str">
        <f t="shared" si="17"/>
        <v/>
      </c>
      <c r="AP38" s="63" t="str">
        <f t="shared" si="17"/>
        <v/>
      </c>
      <c r="AQ38" s="64" t="str">
        <f t="shared" si="17"/>
        <v/>
      </c>
      <c r="AS38" s="58"/>
    </row>
    <row r="39" spans="1:48" ht="16.5" customHeight="1" outlineLevel="1">
      <c r="B39" s="13" t="s">
        <v>102</v>
      </c>
      <c r="C39" s="14" t="s">
        <v>103</v>
      </c>
      <c r="D39" s="15" t="s">
        <v>27</v>
      </c>
      <c r="E39" s="15" t="s">
        <v>77</v>
      </c>
      <c r="F39" s="1">
        <v>10</v>
      </c>
      <c r="G39" s="1">
        <v>27</v>
      </c>
      <c r="H39" s="63" t="str">
        <f t="shared" si="14"/>
        <v/>
      </c>
      <c r="I39" s="63" t="str">
        <f t="shared" si="14"/>
        <v/>
      </c>
      <c r="J39" s="63" t="str">
        <f t="shared" si="14"/>
        <v/>
      </c>
      <c r="K39" s="63" t="str">
        <f t="shared" si="14"/>
        <v/>
      </c>
      <c r="L39" s="63" t="str">
        <f t="shared" si="14"/>
        <v/>
      </c>
      <c r="M39" s="63" t="str">
        <f t="shared" si="14"/>
        <v/>
      </c>
      <c r="N39" s="63" t="str">
        <f t="shared" si="14"/>
        <v/>
      </c>
      <c r="O39" s="63" t="str">
        <f t="shared" si="14"/>
        <v/>
      </c>
      <c r="P39" s="63" t="str">
        <f t="shared" si="14"/>
        <v/>
      </c>
      <c r="Q39" s="63" t="str">
        <f t="shared" si="14"/>
        <v/>
      </c>
      <c r="R39" s="63" t="str">
        <f t="shared" si="15"/>
        <v/>
      </c>
      <c r="S39" s="64" t="str">
        <f t="shared" si="15"/>
        <v/>
      </c>
      <c r="T39" s="65" t="str">
        <f t="shared" si="15"/>
        <v/>
      </c>
      <c r="U39" s="63" t="str">
        <f t="shared" si="15"/>
        <v/>
      </c>
      <c r="V39" s="63" t="str">
        <f t="shared" si="15"/>
        <v/>
      </c>
      <c r="W39" s="63" t="str">
        <f t="shared" si="15"/>
        <v/>
      </c>
      <c r="X39" s="63" t="str">
        <f t="shared" si="15"/>
        <v/>
      </c>
      <c r="Y39" s="63" t="str">
        <f t="shared" si="15"/>
        <v/>
      </c>
      <c r="Z39" s="63" t="str">
        <f t="shared" si="15"/>
        <v/>
      </c>
      <c r="AA39" s="63" t="str">
        <f t="shared" si="15"/>
        <v/>
      </c>
      <c r="AB39" s="63" t="str">
        <f t="shared" si="16"/>
        <v/>
      </c>
      <c r="AC39" s="63" t="str">
        <f t="shared" si="16"/>
        <v/>
      </c>
      <c r="AD39" s="63" t="str">
        <f t="shared" si="16"/>
        <v/>
      </c>
      <c r="AE39" s="64" t="str">
        <f t="shared" si="16"/>
        <v/>
      </c>
      <c r="AF39" s="65" t="str">
        <f t="shared" si="16"/>
        <v/>
      </c>
      <c r="AG39" s="63" t="str">
        <f t="shared" si="16"/>
        <v/>
      </c>
      <c r="AH39" s="63" t="str">
        <f t="shared" si="16"/>
        <v/>
      </c>
      <c r="AI39" s="63" t="str">
        <f t="shared" si="16"/>
        <v/>
      </c>
      <c r="AJ39" s="63" t="str">
        <f t="shared" si="16"/>
        <v/>
      </c>
      <c r="AK39" s="63" t="str">
        <f t="shared" si="16"/>
        <v/>
      </c>
      <c r="AL39" s="63" t="str">
        <f t="shared" si="17"/>
        <v/>
      </c>
      <c r="AM39" s="63" t="str">
        <f t="shared" si="17"/>
        <v/>
      </c>
      <c r="AN39" s="63" t="str">
        <f t="shared" si="17"/>
        <v/>
      </c>
      <c r="AO39" s="63" t="str">
        <f t="shared" si="17"/>
        <v/>
      </c>
      <c r="AP39" s="63" t="str">
        <f t="shared" si="17"/>
        <v/>
      </c>
      <c r="AQ39" s="64" t="str">
        <f t="shared" si="17"/>
        <v/>
      </c>
      <c r="AS39" s="58"/>
    </row>
    <row r="40" spans="1:48" ht="16.5" customHeight="1" outlineLevel="1">
      <c r="B40" s="13" t="s">
        <v>104</v>
      </c>
      <c r="C40" s="14" t="s">
        <v>105</v>
      </c>
      <c r="D40" s="15" t="s">
        <v>27</v>
      </c>
      <c r="E40" s="15" t="s">
        <v>77</v>
      </c>
      <c r="F40" s="1">
        <v>10</v>
      </c>
      <c r="G40" s="1">
        <v>36</v>
      </c>
      <c r="H40" s="63" t="str">
        <f t="shared" si="14"/>
        <v/>
      </c>
      <c r="I40" s="63" t="str">
        <f t="shared" si="14"/>
        <v/>
      </c>
      <c r="J40" s="63" t="str">
        <f t="shared" si="14"/>
        <v/>
      </c>
      <c r="K40" s="63" t="str">
        <f t="shared" si="14"/>
        <v/>
      </c>
      <c r="L40" s="63" t="str">
        <f t="shared" si="14"/>
        <v/>
      </c>
      <c r="M40" s="63" t="str">
        <f t="shared" si="14"/>
        <v/>
      </c>
      <c r="N40" s="63" t="str">
        <f t="shared" si="14"/>
        <v/>
      </c>
      <c r="O40" s="63" t="str">
        <f t="shared" si="14"/>
        <v/>
      </c>
      <c r="P40" s="63" t="str">
        <f t="shared" si="14"/>
        <v/>
      </c>
      <c r="Q40" s="63" t="str">
        <f t="shared" si="14"/>
        <v/>
      </c>
      <c r="R40" s="63" t="str">
        <f t="shared" si="15"/>
        <v/>
      </c>
      <c r="S40" s="64" t="str">
        <f t="shared" si="15"/>
        <v/>
      </c>
      <c r="T40" s="65" t="str">
        <f t="shared" si="15"/>
        <v/>
      </c>
      <c r="U40" s="63" t="str">
        <f t="shared" si="15"/>
        <v/>
      </c>
      <c r="V40" s="63" t="str">
        <f t="shared" si="15"/>
        <v/>
      </c>
      <c r="W40" s="63" t="str">
        <f t="shared" si="15"/>
        <v/>
      </c>
      <c r="X40" s="63" t="str">
        <f t="shared" si="15"/>
        <v/>
      </c>
      <c r="Y40" s="63" t="str">
        <f t="shared" si="15"/>
        <v/>
      </c>
      <c r="Z40" s="63" t="str">
        <f t="shared" si="15"/>
        <v/>
      </c>
      <c r="AA40" s="63" t="str">
        <f t="shared" si="15"/>
        <v/>
      </c>
      <c r="AB40" s="63" t="str">
        <f t="shared" si="16"/>
        <v/>
      </c>
      <c r="AC40" s="63" t="str">
        <f t="shared" si="16"/>
        <v/>
      </c>
      <c r="AD40" s="63" t="str">
        <f t="shared" si="16"/>
        <v/>
      </c>
      <c r="AE40" s="64" t="str">
        <f t="shared" si="16"/>
        <v/>
      </c>
      <c r="AF40" s="65" t="str">
        <f t="shared" si="16"/>
        <v/>
      </c>
      <c r="AG40" s="63" t="str">
        <f t="shared" si="16"/>
        <v/>
      </c>
      <c r="AH40" s="63" t="str">
        <f t="shared" si="16"/>
        <v/>
      </c>
      <c r="AI40" s="63" t="str">
        <f t="shared" si="16"/>
        <v/>
      </c>
      <c r="AJ40" s="63" t="str">
        <f t="shared" si="16"/>
        <v/>
      </c>
      <c r="AK40" s="63" t="str">
        <f t="shared" si="16"/>
        <v/>
      </c>
      <c r="AL40" s="63" t="str">
        <f t="shared" si="17"/>
        <v/>
      </c>
      <c r="AM40" s="63" t="str">
        <f t="shared" si="17"/>
        <v/>
      </c>
      <c r="AN40" s="63" t="str">
        <f t="shared" si="17"/>
        <v/>
      </c>
      <c r="AO40" s="63" t="str">
        <f t="shared" si="17"/>
        <v/>
      </c>
      <c r="AP40" s="63" t="str">
        <f t="shared" si="17"/>
        <v/>
      </c>
      <c r="AQ40" s="64" t="str">
        <f t="shared" si="17"/>
        <v/>
      </c>
      <c r="AS40" s="58"/>
    </row>
    <row r="41" spans="1:48" ht="16.5" customHeight="1" outlineLevel="2">
      <c r="B41" s="36" t="s">
        <v>106</v>
      </c>
      <c r="C41" s="37" t="s">
        <v>107</v>
      </c>
      <c r="D41" s="45" t="s">
        <v>37</v>
      </c>
      <c r="E41" s="45" t="s">
        <v>77</v>
      </c>
      <c r="F41" s="40">
        <v>24</v>
      </c>
      <c r="G41" s="40">
        <f t="shared" ref="G41" si="19">F41</f>
        <v>24</v>
      </c>
      <c r="H41" s="66" t="str">
        <f t="shared" si="14"/>
        <v/>
      </c>
      <c r="I41" s="66" t="str">
        <f t="shared" si="14"/>
        <v/>
      </c>
      <c r="J41" s="66" t="str">
        <f t="shared" si="14"/>
        <v/>
      </c>
      <c r="K41" s="66" t="str">
        <f t="shared" si="14"/>
        <v/>
      </c>
      <c r="L41" s="66" t="str">
        <f t="shared" si="14"/>
        <v/>
      </c>
      <c r="M41" s="66" t="str">
        <f t="shared" si="14"/>
        <v/>
      </c>
      <c r="N41" s="66" t="str">
        <f t="shared" si="14"/>
        <v/>
      </c>
      <c r="O41" s="66" t="str">
        <f t="shared" si="14"/>
        <v/>
      </c>
      <c r="P41" s="66" t="str">
        <f t="shared" si="14"/>
        <v/>
      </c>
      <c r="Q41" s="66" t="str">
        <f t="shared" si="14"/>
        <v/>
      </c>
      <c r="R41" s="66" t="str">
        <f t="shared" si="15"/>
        <v/>
      </c>
      <c r="S41" s="67" t="str">
        <f t="shared" si="15"/>
        <v/>
      </c>
      <c r="T41" s="68" t="str">
        <f t="shared" si="15"/>
        <v/>
      </c>
      <c r="U41" s="66" t="str">
        <f t="shared" si="15"/>
        <v/>
      </c>
      <c r="V41" s="66" t="str">
        <f t="shared" si="15"/>
        <v/>
      </c>
      <c r="W41" s="66" t="str">
        <f t="shared" si="15"/>
        <v/>
      </c>
      <c r="X41" s="66" t="str">
        <f t="shared" si="15"/>
        <v/>
      </c>
      <c r="Y41" s="66" t="str">
        <f t="shared" si="15"/>
        <v/>
      </c>
      <c r="Z41" s="66" t="str">
        <f t="shared" si="15"/>
        <v/>
      </c>
      <c r="AA41" s="66" t="str">
        <f t="shared" si="15"/>
        <v/>
      </c>
      <c r="AB41" s="66" t="str">
        <f t="shared" si="16"/>
        <v/>
      </c>
      <c r="AC41" s="66" t="str">
        <f t="shared" si="16"/>
        <v/>
      </c>
      <c r="AD41" s="66" t="str">
        <f t="shared" si="16"/>
        <v/>
      </c>
      <c r="AE41" s="67">
        <f t="shared" si="16"/>
        <v>2</v>
      </c>
      <c r="AF41" s="68" t="str">
        <f t="shared" si="16"/>
        <v/>
      </c>
      <c r="AG41" s="66" t="str">
        <f t="shared" si="16"/>
        <v/>
      </c>
      <c r="AH41" s="66" t="str">
        <f t="shared" si="16"/>
        <v/>
      </c>
      <c r="AI41" s="66" t="str">
        <f t="shared" si="16"/>
        <v/>
      </c>
      <c r="AJ41" s="66" t="str">
        <f t="shared" si="16"/>
        <v/>
      </c>
      <c r="AK41" s="66" t="str">
        <f t="shared" si="16"/>
        <v/>
      </c>
      <c r="AL41" s="66" t="str">
        <f t="shared" si="17"/>
        <v/>
      </c>
      <c r="AM41" s="66" t="str">
        <f t="shared" si="17"/>
        <v/>
      </c>
      <c r="AN41" s="66" t="str">
        <f t="shared" si="17"/>
        <v/>
      </c>
      <c r="AO41" s="66" t="str">
        <f t="shared" si="17"/>
        <v/>
      </c>
      <c r="AP41" s="66" t="str">
        <f t="shared" si="17"/>
        <v/>
      </c>
      <c r="AQ41" s="67" t="str">
        <f t="shared" si="17"/>
        <v/>
      </c>
      <c r="AR41" s="60"/>
      <c r="AS41" s="42" t="s">
        <v>93</v>
      </c>
      <c r="AT41" s="3" t="s">
        <v>38</v>
      </c>
    </row>
    <row r="42" spans="1:48" ht="16.5" customHeight="1" outlineLevel="2">
      <c r="B42" s="36" t="s">
        <v>108</v>
      </c>
      <c r="C42" s="37" t="s">
        <v>109</v>
      </c>
      <c r="D42" s="45" t="s">
        <v>37</v>
      </c>
      <c r="E42" s="45" t="s">
        <v>77</v>
      </c>
      <c r="F42" s="40">
        <v>36</v>
      </c>
      <c r="G42" s="40">
        <f>F42</f>
        <v>36</v>
      </c>
      <c r="H42" s="66" t="str">
        <f t="shared" ref="H42:Q55" si="20">IF(AND($D42=$D$76,$F42=H$4),2,IF(AND($D42=$D$75,$F42=H$4),1,""))</f>
        <v/>
      </c>
      <c r="I42" s="66" t="str">
        <f t="shared" si="20"/>
        <v/>
      </c>
      <c r="J42" s="66" t="str">
        <f t="shared" si="20"/>
        <v/>
      </c>
      <c r="K42" s="66" t="str">
        <f t="shared" si="20"/>
        <v/>
      </c>
      <c r="L42" s="66" t="str">
        <f t="shared" si="20"/>
        <v/>
      </c>
      <c r="M42" s="66" t="str">
        <f t="shared" si="20"/>
        <v/>
      </c>
      <c r="N42" s="66" t="str">
        <f t="shared" si="20"/>
        <v/>
      </c>
      <c r="O42" s="66" t="str">
        <f t="shared" si="20"/>
        <v/>
      </c>
      <c r="P42" s="66" t="str">
        <f t="shared" si="20"/>
        <v/>
      </c>
      <c r="Q42" s="66" t="str">
        <f t="shared" si="20"/>
        <v/>
      </c>
      <c r="R42" s="66" t="str">
        <f t="shared" ref="R42:AA55" si="21">IF(AND($D42=$D$76,$F42=R$4),2,IF(AND($D42=$D$75,$F42=R$4),1,""))</f>
        <v/>
      </c>
      <c r="S42" s="67" t="str">
        <f t="shared" si="21"/>
        <v/>
      </c>
      <c r="T42" s="68" t="str">
        <f t="shared" si="21"/>
        <v/>
      </c>
      <c r="U42" s="66" t="str">
        <f t="shared" si="21"/>
        <v/>
      </c>
      <c r="V42" s="66" t="str">
        <f t="shared" si="21"/>
        <v/>
      </c>
      <c r="W42" s="66" t="str">
        <f t="shared" si="21"/>
        <v/>
      </c>
      <c r="X42" s="66" t="str">
        <f t="shared" si="21"/>
        <v/>
      </c>
      <c r="Y42" s="66" t="str">
        <f t="shared" si="21"/>
        <v/>
      </c>
      <c r="Z42" s="66" t="str">
        <f t="shared" si="21"/>
        <v/>
      </c>
      <c r="AA42" s="66" t="str">
        <f t="shared" si="21"/>
        <v/>
      </c>
      <c r="AB42" s="66" t="str">
        <f t="shared" ref="AB42:AG55" si="22">IF(AND($D42=$D$76,$F42=AB$4),2,IF(AND($D42=$D$75,$F42=AB$4),1,""))</f>
        <v/>
      </c>
      <c r="AC42" s="66" t="str">
        <f t="shared" si="22"/>
        <v/>
      </c>
      <c r="AD42" s="66" t="str">
        <f t="shared" si="22"/>
        <v/>
      </c>
      <c r="AE42" s="67" t="str">
        <f t="shared" si="22"/>
        <v/>
      </c>
      <c r="AF42" s="68" t="str">
        <f t="shared" si="22"/>
        <v/>
      </c>
      <c r="AG42" s="66" t="str">
        <f t="shared" si="22"/>
        <v/>
      </c>
      <c r="AH42" s="66">
        <v>2</v>
      </c>
      <c r="AI42" s="66" t="str">
        <f t="shared" ref="AI42:AP55" si="23">IF(AND($D42=$D$76,$F42=AI$4),2,IF(AND($D42=$D$75,$F42=AI$4),1,""))</f>
        <v/>
      </c>
      <c r="AJ42" s="66" t="str">
        <f t="shared" si="23"/>
        <v/>
      </c>
      <c r="AK42" s="66" t="str">
        <f t="shared" si="23"/>
        <v/>
      </c>
      <c r="AL42" s="66" t="str">
        <f t="shared" si="23"/>
        <v/>
      </c>
      <c r="AM42" s="66" t="str">
        <f t="shared" si="23"/>
        <v/>
      </c>
      <c r="AN42" s="66" t="str">
        <f t="shared" si="23"/>
        <v/>
      </c>
      <c r="AO42" s="66" t="str">
        <f t="shared" si="23"/>
        <v/>
      </c>
      <c r="AP42" s="66" t="str">
        <f t="shared" si="23"/>
        <v/>
      </c>
      <c r="AQ42" s="67"/>
      <c r="AR42" s="60"/>
      <c r="AS42" s="42" t="s">
        <v>72</v>
      </c>
      <c r="AT42" s="3" t="s">
        <v>38</v>
      </c>
    </row>
    <row r="43" spans="1:48" ht="16.5" customHeight="1" outlineLevel="2">
      <c r="B43" s="36" t="s">
        <v>110</v>
      </c>
      <c r="C43" s="37" t="s">
        <v>111</v>
      </c>
      <c r="D43" s="45" t="s">
        <v>37</v>
      </c>
      <c r="E43" s="45" t="s">
        <v>77</v>
      </c>
      <c r="F43" s="40">
        <v>36</v>
      </c>
      <c r="G43" s="40">
        <f>F43</f>
        <v>36</v>
      </c>
      <c r="H43" s="66" t="str">
        <f t="shared" si="20"/>
        <v/>
      </c>
      <c r="I43" s="66" t="str">
        <f t="shared" si="20"/>
        <v/>
      </c>
      <c r="J43" s="66" t="str">
        <f t="shared" si="20"/>
        <v/>
      </c>
      <c r="K43" s="66" t="str">
        <f t="shared" si="20"/>
        <v/>
      </c>
      <c r="L43" s="66" t="str">
        <f t="shared" si="20"/>
        <v/>
      </c>
      <c r="M43" s="66" t="str">
        <f t="shared" si="20"/>
        <v/>
      </c>
      <c r="N43" s="66" t="str">
        <f t="shared" si="20"/>
        <v/>
      </c>
      <c r="O43" s="66" t="str">
        <f t="shared" si="20"/>
        <v/>
      </c>
      <c r="P43" s="66" t="str">
        <f t="shared" si="20"/>
        <v/>
      </c>
      <c r="Q43" s="66" t="str">
        <f t="shared" si="20"/>
        <v/>
      </c>
      <c r="R43" s="66" t="str">
        <f t="shared" si="21"/>
        <v/>
      </c>
      <c r="S43" s="67" t="str">
        <f t="shared" si="21"/>
        <v/>
      </c>
      <c r="T43" s="68" t="str">
        <f t="shared" si="21"/>
        <v/>
      </c>
      <c r="U43" s="66" t="str">
        <f t="shared" si="21"/>
        <v/>
      </c>
      <c r="V43" s="66" t="str">
        <f t="shared" si="21"/>
        <v/>
      </c>
      <c r="W43" s="66" t="str">
        <f t="shared" si="21"/>
        <v/>
      </c>
      <c r="X43" s="66" t="str">
        <f t="shared" si="21"/>
        <v/>
      </c>
      <c r="Y43" s="66" t="str">
        <f t="shared" si="21"/>
        <v/>
      </c>
      <c r="Z43" s="66" t="str">
        <f t="shared" si="21"/>
        <v/>
      </c>
      <c r="AA43" s="66" t="str">
        <f t="shared" si="21"/>
        <v/>
      </c>
      <c r="AB43" s="66" t="str">
        <f t="shared" si="22"/>
        <v/>
      </c>
      <c r="AC43" s="66" t="str">
        <f t="shared" si="22"/>
        <v/>
      </c>
      <c r="AD43" s="66" t="str">
        <f t="shared" si="22"/>
        <v/>
      </c>
      <c r="AE43" s="67" t="str">
        <f t="shared" si="22"/>
        <v/>
      </c>
      <c r="AF43" s="68" t="str">
        <f t="shared" si="22"/>
        <v/>
      </c>
      <c r="AG43" s="66" t="str">
        <f t="shared" si="22"/>
        <v/>
      </c>
      <c r="AH43" s="66" t="str">
        <f t="shared" ref="AH43:AH55" si="24">IF(AND($D43=$D$76,$F43=AH$4),2,IF(AND($D43=$D$75,$F43=AH$4),1,""))</f>
        <v/>
      </c>
      <c r="AI43" s="66" t="str">
        <f t="shared" si="23"/>
        <v/>
      </c>
      <c r="AJ43" s="66" t="str">
        <f t="shared" si="23"/>
        <v/>
      </c>
      <c r="AK43" s="66" t="str">
        <f t="shared" si="23"/>
        <v/>
      </c>
      <c r="AL43" s="66" t="str">
        <f t="shared" si="23"/>
        <v/>
      </c>
      <c r="AM43" s="66" t="str">
        <f t="shared" si="23"/>
        <v/>
      </c>
      <c r="AN43" s="66" t="str">
        <f t="shared" si="23"/>
        <v/>
      </c>
      <c r="AO43" s="66" t="str">
        <f t="shared" si="23"/>
        <v/>
      </c>
      <c r="AP43" s="66" t="str">
        <f t="shared" si="23"/>
        <v/>
      </c>
      <c r="AQ43" s="67">
        <f t="shared" ref="AQ43:AQ70" si="25">IF(AND($D43=$D$76,$F43=AQ$4),2,IF(AND($D43=$D$75,$F43=AQ$4),1,""))</f>
        <v>2</v>
      </c>
      <c r="AR43" s="60"/>
      <c r="AS43" s="42" t="s">
        <v>93</v>
      </c>
      <c r="AT43" s="3" t="s">
        <v>38</v>
      </c>
    </row>
    <row r="44" spans="1:48" ht="16.5" customHeight="1" outlineLevel="1">
      <c r="B44" s="36" t="s">
        <v>112</v>
      </c>
      <c r="C44" s="37" t="s">
        <v>113</v>
      </c>
      <c r="D44" s="45" t="s">
        <v>47</v>
      </c>
      <c r="E44" s="45" t="s">
        <v>77</v>
      </c>
      <c r="F44" s="84">
        <v>24</v>
      </c>
      <c r="G44" s="84">
        <v>24</v>
      </c>
      <c r="H44" s="66" t="str">
        <f t="shared" si="20"/>
        <v/>
      </c>
      <c r="I44" s="66" t="str">
        <f t="shared" si="20"/>
        <v/>
      </c>
      <c r="J44" s="66" t="str">
        <f t="shared" si="20"/>
        <v/>
      </c>
      <c r="K44" s="66" t="str">
        <f t="shared" si="20"/>
        <v/>
      </c>
      <c r="L44" s="66" t="str">
        <f t="shared" si="20"/>
        <v/>
      </c>
      <c r="M44" s="66" t="str">
        <f t="shared" si="20"/>
        <v/>
      </c>
      <c r="N44" s="66" t="str">
        <f t="shared" si="20"/>
        <v/>
      </c>
      <c r="O44" s="66" t="str">
        <f t="shared" si="20"/>
        <v/>
      </c>
      <c r="P44" s="66" t="str">
        <f t="shared" si="20"/>
        <v/>
      </c>
      <c r="Q44" s="66" t="str">
        <f t="shared" si="20"/>
        <v/>
      </c>
      <c r="R44" s="66" t="str">
        <f t="shared" si="21"/>
        <v/>
      </c>
      <c r="S44" s="67" t="str">
        <f t="shared" si="21"/>
        <v/>
      </c>
      <c r="T44" s="68" t="str">
        <f t="shared" si="21"/>
        <v/>
      </c>
      <c r="U44" s="66" t="str">
        <f t="shared" si="21"/>
        <v/>
      </c>
      <c r="V44" s="66" t="str">
        <f t="shared" si="21"/>
        <v/>
      </c>
      <c r="W44" s="66" t="str">
        <f t="shared" si="21"/>
        <v/>
      </c>
      <c r="X44" s="66" t="str">
        <f t="shared" si="21"/>
        <v/>
      </c>
      <c r="Y44" s="66" t="str">
        <f t="shared" si="21"/>
        <v/>
      </c>
      <c r="Z44" s="66" t="str">
        <f t="shared" si="21"/>
        <v/>
      </c>
      <c r="AA44" s="66" t="str">
        <f t="shared" si="21"/>
        <v/>
      </c>
      <c r="AB44" s="66" t="str">
        <f t="shared" si="22"/>
        <v/>
      </c>
      <c r="AC44" s="66" t="str">
        <f t="shared" si="22"/>
        <v/>
      </c>
      <c r="AD44" s="66" t="str">
        <f t="shared" si="22"/>
        <v/>
      </c>
      <c r="AE44" s="67">
        <f t="shared" si="22"/>
        <v>1</v>
      </c>
      <c r="AF44" s="68" t="str">
        <f t="shared" si="22"/>
        <v/>
      </c>
      <c r="AG44" s="66" t="str">
        <f t="shared" si="22"/>
        <v/>
      </c>
      <c r="AH44" s="66" t="str">
        <f t="shared" si="24"/>
        <v/>
      </c>
      <c r="AI44" s="66" t="str">
        <f t="shared" si="23"/>
        <v/>
      </c>
      <c r="AJ44" s="66" t="str">
        <f t="shared" si="23"/>
        <v/>
      </c>
      <c r="AK44" s="66" t="str">
        <f t="shared" si="23"/>
        <v/>
      </c>
      <c r="AL44" s="66" t="str">
        <f t="shared" si="23"/>
        <v/>
      </c>
      <c r="AM44" s="66" t="str">
        <f t="shared" si="23"/>
        <v/>
      </c>
      <c r="AN44" s="66" t="str">
        <f t="shared" si="23"/>
        <v/>
      </c>
      <c r="AO44" s="66" t="str">
        <f t="shared" si="23"/>
        <v/>
      </c>
      <c r="AP44" s="66" t="str">
        <f t="shared" si="23"/>
        <v/>
      </c>
      <c r="AQ44" s="67" t="str">
        <f t="shared" si="25"/>
        <v/>
      </c>
      <c r="AR44" s="60"/>
      <c r="AS44" s="42" t="s">
        <v>93</v>
      </c>
    </row>
    <row r="45" spans="1:48" ht="16.5" customHeight="1" outlineLevel="1">
      <c r="B45" s="36" t="s">
        <v>114</v>
      </c>
      <c r="C45" s="37" t="s">
        <v>115</v>
      </c>
      <c r="D45" s="45" t="s">
        <v>47</v>
      </c>
      <c r="E45" s="45" t="s">
        <v>77</v>
      </c>
      <c r="F45" s="84">
        <v>36</v>
      </c>
      <c r="G45" s="84">
        <v>36</v>
      </c>
      <c r="H45" s="66" t="str">
        <f t="shared" si="20"/>
        <v/>
      </c>
      <c r="I45" s="66" t="str">
        <f t="shared" si="20"/>
        <v/>
      </c>
      <c r="J45" s="66" t="str">
        <f t="shared" si="20"/>
        <v/>
      </c>
      <c r="K45" s="66" t="str">
        <f t="shared" si="20"/>
        <v/>
      </c>
      <c r="L45" s="66" t="str">
        <f t="shared" si="20"/>
        <v/>
      </c>
      <c r="M45" s="66" t="str">
        <f t="shared" si="20"/>
        <v/>
      </c>
      <c r="N45" s="66" t="str">
        <f t="shared" si="20"/>
        <v/>
      </c>
      <c r="O45" s="66" t="str">
        <f t="shared" si="20"/>
        <v/>
      </c>
      <c r="P45" s="66" t="str">
        <f t="shared" si="20"/>
        <v/>
      </c>
      <c r="Q45" s="66" t="str">
        <f t="shared" si="20"/>
        <v/>
      </c>
      <c r="R45" s="66" t="str">
        <f t="shared" si="21"/>
        <v/>
      </c>
      <c r="S45" s="67" t="str">
        <f t="shared" si="21"/>
        <v/>
      </c>
      <c r="T45" s="68" t="str">
        <f t="shared" si="21"/>
        <v/>
      </c>
      <c r="U45" s="66" t="str">
        <f t="shared" si="21"/>
        <v/>
      </c>
      <c r="V45" s="66" t="str">
        <f t="shared" si="21"/>
        <v/>
      </c>
      <c r="W45" s="66" t="str">
        <f t="shared" si="21"/>
        <v/>
      </c>
      <c r="X45" s="66" t="str">
        <f t="shared" si="21"/>
        <v/>
      </c>
      <c r="Y45" s="66" t="str">
        <f t="shared" si="21"/>
        <v/>
      </c>
      <c r="Z45" s="66" t="str">
        <f t="shared" si="21"/>
        <v/>
      </c>
      <c r="AA45" s="66" t="str">
        <f t="shared" si="21"/>
        <v/>
      </c>
      <c r="AB45" s="66" t="str">
        <f t="shared" si="22"/>
        <v/>
      </c>
      <c r="AC45" s="66" t="str">
        <f t="shared" si="22"/>
        <v/>
      </c>
      <c r="AD45" s="66" t="str">
        <f t="shared" si="22"/>
        <v/>
      </c>
      <c r="AE45" s="67" t="str">
        <f t="shared" si="22"/>
        <v/>
      </c>
      <c r="AF45" s="68" t="str">
        <f t="shared" si="22"/>
        <v/>
      </c>
      <c r="AG45" s="66" t="str">
        <f t="shared" si="22"/>
        <v/>
      </c>
      <c r="AH45" s="66" t="str">
        <f t="shared" si="24"/>
        <v/>
      </c>
      <c r="AI45" s="66" t="str">
        <f t="shared" si="23"/>
        <v/>
      </c>
      <c r="AJ45" s="66" t="str">
        <f t="shared" si="23"/>
        <v/>
      </c>
      <c r="AK45" s="66" t="str">
        <f t="shared" si="23"/>
        <v/>
      </c>
      <c r="AL45" s="66" t="str">
        <f t="shared" si="23"/>
        <v/>
      </c>
      <c r="AM45" s="66" t="str">
        <f t="shared" si="23"/>
        <v/>
      </c>
      <c r="AN45" s="66" t="str">
        <f t="shared" si="23"/>
        <v/>
      </c>
      <c r="AO45" s="66" t="str">
        <f t="shared" si="23"/>
        <v/>
      </c>
      <c r="AP45" s="66" t="str">
        <f t="shared" si="23"/>
        <v/>
      </c>
      <c r="AQ45" s="67">
        <f t="shared" si="25"/>
        <v>1</v>
      </c>
      <c r="AR45" s="60"/>
      <c r="AS45" s="42" t="s">
        <v>72</v>
      </c>
    </row>
    <row r="46" spans="1:48" ht="16.5" customHeight="1">
      <c r="B46" s="17" t="s">
        <v>116</v>
      </c>
      <c r="C46" s="18" t="s">
        <v>117</v>
      </c>
      <c r="D46" s="19" t="s">
        <v>23</v>
      </c>
      <c r="E46" s="19" t="s">
        <v>93</v>
      </c>
      <c r="F46" s="11">
        <f>MIN(F47:F55)</f>
        <v>8</v>
      </c>
      <c r="G46" s="11">
        <f>MAX(G47:G55)</f>
        <v>36</v>
      </c>
      <c r="H46" s="63" t="str">
        <f t="shared" si="20"/>
        <v/>
      </c>
      <c r="I46" s="63" t="str">
        <f t="shared" si="20"/>
        <v/>
      </c>
      <c r="J46" s="63" t="str">
        <f t="shared" si="20"/>
        <v/>
      </c>
      <c r="K46" s="63" t="str">
        <f t="shared" si="20"/>
        <v/>
      </c>
      <c r="L46" s="63" t="str">
        <f t="shared" si="20"/>
        <v/>
      </c>
      <c r="M46" s="63" t="str">
        <f t="shared" si="20"/>
        <v/>
      </c>
      <c r="N46" s="63" t="str">
        <f t="shared" si="20"/>
        <v/>
      </c>
      <c r="O46" s="63" t="str">
        <f t="shared" si="20"/>
        <v/>
      </c>
      <c r="P46" s="63" t="str">
        <f t="shared" si="20"/>
        <v/>
      </c>
      <c r="Q46" s="63" t="str">
        <f t="shared" si="20"/>
        <v/>
      </c>
      <c r="R46" s="63" t="str">
        <f t="shared" si="21"/>
        <v/>
      </c>
      <c r="S46" s="64" t="str">
        <f t="shared" si="21"/>
        <v/>
      </c>
      <c r="T46" s="65" t="str">
        <f t="shared" si="21"/>
        <v/>
      </c>
      <c r="U46" s="63" t="str">
        <f t="shared" si="21"/>
        <v/>
      </c>
      <c r="V46" s="63" t="str">
        <f t="shared" si="21"/>
        <v/>
      </c>
      <c r="W46" s="63" t="str">
        <f t="shared" si="21"/>
        <v/>
      </c>
      <c r="X46" s="63" t="str">
        <f t="shared" si="21"/>
        <v/>
      </c>
      <c r="Y46" s="63" t="str">
        <f t="shared" si="21"/>
        <v/>
      </c>
      <c r="Z46" s="63" t="str">
        <f t="shared" si="21"/>
        <v/>
      </c>
      <c r="AA46" s="63" t="str">
        <f t="shared" si="21"/>
        <v/>
      </c>
      <c r="AB46" s="63" t="str">
        <f t="shared" si="22"/>
        <v/>
      </c>
      <c r="AC46" s="63" t="str">
        <f t="shared" si="22"/>
        <v/>
      </c>
      <c r="AD46" s="63" t="str">
        <f t="shared" si="22"/>
        <v/>
      </c>
      <c r="AE46" s="64" t="str">
        <f t="shared" si="22"/>
        <v/>
      </c>
      <c r="AF46" s="65" t="str">
        <f t="shared" si="22"/>
        <v/>
      </c>
      <c r="AG46" s="63" t="str">
        <f t="shared" si="22"/>
        <v/>
      </c>
      <c r="AH46" s="63" t="str">
        <f t="shared" si="24"/>
        <v/>
      </c>
      <c r="AI46" s="63" t="str">
        <f t="shared" si="23"/>
        <v/>
      </c>
      <c r="AJ46" s="63" t="str">
        <f t="shared" si="23"/>
        <v/>
      </c>
      <c r="AK46" s="63" t="str">
        <f t="shared" si="23"/>
        <v/>
      </c>
      <c r="AL46" s="63" t="str">
        <f t="shared" si="23"/>
        <v/>
      </c>
      <c r="AM46" s="63" t="str">
        <f t="shared" si="23"/>
        <v/>
      </c>
      <c r="AN46" s="63" t="str">
        <f t="shared" si="23"/>
        <v/>
      </c>
      <c r="AO46" s="63" t="str">
        <f t="shared" si="23"/>
        <v/>
      </c>
      <c r="AP46" s="63" t="str">
        <f t="shared" si="23"/>
        <v/>
      </c>
      <c r="AQ46" s="64" t="str">
        <f t="shared" si="25"/>
        <v/>
      </c>
      <c r="AS46" s="58"/>
    </row>
    <row r="47" spans="1:48" s="3" customFormat="1" ht="16.5" customHeight="1" outlineLevel="1">
      <c r="A47" s="2"/>
      <c r="B47" s="24" t="s">
        <v>118</v>
      </c>
      <c r="C47" s="22" t="s">
        <v>119</v>
      </c>
      <c r="D47" s="15" t="s">
        <v>27</v>
      </c>
      <c r="E47" s="15" t="s">
        <v>93</v>
      </c>
      <c r="F47" s="1">
        <v>8</v>
      </c>
      <c r="G47" s="1">
        <v>30</v>
      </c>
      <c r="H47" s="63" t="str">
        <f t="shared" si="20"/>
        <v/>
      </c>
      <c r="I47" s="63" t="str">
        <f t="shared" si="20"/>
        <v/>
      </c>
      <c r="J47" s="63" t="str">
        <f t="shared" si="20"/>
        <v/>
      </c>
      <c r="K47" s="63" t="str">
        <f t="shared" si="20"/>
        <v/>
      </c>
      <c r="L47" s="63" t="str">
        <f t="shared" si="20"/>
        <v/>
      </c>
      <c r="M47" s="63" t="str">
        <f t="shared" si="20"/>
        <v/>
      </c>
      <c r="N47" s="63" t="str">
        <f t="shared" si="20"/>
        <v/>
      </c>
      <c r="O47" s="63" t="str">
        <f t="shared" si="20"/>
        <v/>
      </c>
      <c r="P47" s="63" t="str">
        <f t="shared" si="20"/>
        <v/>
      </c>
      <c r="Q47" s="63" t="str">
        <f t="shared" si="20"/>
        <v/>
      </c>
      <c r="R47" s="63" t="str">
        <f t="shared" si="21"/>
        <v/>
      </c>
      <c r="S47" s="64" t="str">
        <f t="shared" si="21"/>
        <v/>
      </c>
      <c r="T47" s="65" t="str">
        <f t="shared" si="21"/>
        <v/>
      </c>
      <c r="U47" s="63" t="str">
        <f t="shared" si="21"/>
        <v/>
      </c>
      <c r="V47" s="63" t="str">
        <f t="shared" si="21"/>
        <v/>
      </c>
      <c r="W47" s="63" t="str">
        <f t="shared" si="21"/>
        <v/>
      </c>
      <c r="X47" s="63" t="str">
        <f t="shared" si="21"/>
        <v/>
      </c>
      <c r="Y47" s="63" t="str">
        <f t="shared" si="21"/>
        <v/>
      </c>
      <c r="Z47" s="63" t="str">
        <f t="shared" si="21"/>
        <v/>
      </c>
      <c r="AA47" s="63" t="str">
        <f t="shared" si="21"/>
        <v/>
      </c>
      <c r="AB47" s="63" t="str">
        <f t="shared" si="22"/>
        <v/>
      </c>
      <c r="AC47" s="63" t="str">
        <f t="shared" si="22"/>
        <v/>
      </c>
      <c r="AD47" s="63" t="str">
        <f t="shared" si="22"/>
        <v/>
      </c>
      <c r="AE47" s="64" t="str">
        <f t="shared" si="22"/>
        <v/>
      </c>
      <c r="AF47" s="65" t="str">
        <f t="shared" si="22"/>
        <v/>
      </c>
      <c r="AG47" s="63" t="str">
        <f t="shared" si="22"/>
        <v/>
      </c>
      <c r="AH47" s="63" t="str">
        <f t="shared" si="24"/>
        <v/>
      </c>
      <c r="AI47" s="63" t="str">
        <f t="shared" si="23"/>
        <v/>
      </c>
      <c r="AJ47" s="63" t="str">
        <f t="shared" si="23"/>
        <v/>
      </c>
      <c r="AK47" s="63" t="str">
        <f t="shared" si="23"/>
        <v/>
      </c>
      <c r="AL47" s="63" t="str">
        <f t="shared" si="23"/>
        <v/>
      </c>
      <c r="AM47" s="63" t="str">
        <f t="shared" si="23"/>
        <v/>
      </c>
      <c r="AN47" s="63" t="str">
        <f t="shared" si="23"/>
        <v/>
      </c>
      <c r="AO47" s="63" t="str">
        <f t="shared" si="23"/>
        <v/>
      </c>
      <c r="AP47" s="63" t="str">
        <f t="shared" si="23"/>
        <v/>
      </c>
      <c r="AQ47" s="64" t="str">
        <f t="shared" si="25"/>
        <v/>
      </c>
      <c r="AR47" s="2"/>
      <c r="AS47" s="58"/>
      <c r="AU47" s="2"/>
    </row>
    <row r="48" spans="1:48" s="3" customFormat="1" ht="16.5" customHeight="1" outlineLevel="1">
      <c r="A48" s="2"/>
      <c r="B48" s="24" t="s">
        <v>120</v>
      </c>
      <c r="C48" s="14" t="s">
        <v>121</v>
      </c>
      <c r="D48" s="15" t="s">
        <v>27</v>
      </c>
      <c r="E48" s="15" t="s">
        <v>93</v>
      </c>
      <c r="F48" s="23">
        <v>18</v>
      </c>
      <c r="G48" s="1">
        <v>26</v>
      </c>
      <c r="H48" s="63" t="str">
        <f t="shared" si="20"/>
        <v/>
      </c>
      <c r="I48" s="63" t="str">
        <f t="shared" si="20"/>
        <v/>
      </c>
      <c r="J48" s="63" t="str">
        <f t="shared" si="20"/>
        <v/>
      </c>
      <c r="K48" s="63" t="str">
        <f t="shared" si="20"/>
        <v/>
      </c>
      <c r="L48" s="63" t="str">
        <f t="shared" si="20"/>
        <v/>
      </c>
      <c r="M48" s="63" t="str">
        <f t="shared" si="20"/>
        <v/>
      </c>
      <c r="N48" s="63" t="str">
        <f t="shared" si="20"/>
        <v/>
      </c>
      <c r="O48" s="63" t="str">
        <f t="shared" si="20"/>
        <v/>
      </c>
      <c r="P48" s="63" t="str">
        <f t="shared" si="20"/>
        <v/>
      </c>
      <c r="Q48" s="63" t="str">
        <f t="shared" si="20"/>
        <v/>
      </c>
      <c r="R48" s="63" t="str">
        <f t="shared" si="21"/>
        <v/>
      </c>
      <c r="S48" s="64" t="str">
        <f t="shared" si="21"/>
        <v/>
      </c>
      <c r="T48" s="65" t="str">
        <f t="shared" si="21"/>
        <v/>
      </c>
      <c r="U48" s="63" t="str">
        <f t="shared" si="21"/>
        <v/>
      </c>
      <c r="V48" s="63" t="str">
        <f t="shared" si="21"/>
        <v/>
      </c>
      <c r="W48" s="63" t="str">
        <f t="shared" si="21"/>
        <v/>
      </c>
      <c r="X48" s="63" t="str">
        <f t="shared" si="21"/>
        <v/>
      </c>
      <c r="Y48" s="63" t="str">
        <f t="shared" si="21"/>
        <v/>
      </c>
      <c r="Z48" s="63" t="str">
        <f t="shared" si="21"/>
        <v/>
      </c>
      <c r="AA48" s="63" t="str">
        <f t="shared" si="21"/>
        <v/>
      </c>
      <c r="AB48" s="63" t="str">
        <f t="shared" si="22"/>
        <v/>
      </c>
      <c r="AC48" s="63" t="str">
        <f t="shared" si="22"/>
        <v/>
      </c>
      <c r="AD48" s="63" t="str">
        <f t="shared" si="22"/>
        <v/>
      </c>
      <c r="AE48" s="64" t="str">
        <f t="shared" si="22"/>
        <v/>
      </c>
      <c r="AF48" s="65" t="str">
        <f t="shared" si="22"/>
        <v/>
      </c>
      <c r="AG48" s="63" t="str">
        <f t="shared" si="22"/>
        <v/>
      </c>
      <c r="AH48" s="63" t="str">
        <f t="shared" si="24"/>
        <v/>
      </c>
      <c r="AI48" s="63" t="str">
        <f t="shared" si="23"/>
        <v/>
      </c>
      <c r="AJ48" s="63" t="str">
        <f t="shared" si="23"/>
        <v/>
      </c>
      <c r="AK48" s="63" t="str">
        <f t="shared" si="23"/>
        <v/>
      </c>
      <c r="AL48" s="63" t="str">
        <f t="shared" si="23"/>
        <v/>
      </c>
      <c r="AM48" s="63" t="str">
        <f t="shared" si="23"/>
        <v/>
      </c>
      <c r="AN48" s="63" t="str">
        <f t="shared" si="23"/>
        <v/>
      </c>
      <c r="AO48" s="63" t="str">
        <f t="shared" si="23"/>
        <v/>
      </c>
      <c r="AP48" s="63" t="str">
        <f t="shared" si="23"/>
        <v/>
      </c>
      <c r="AQ48" s="64" t="str">
        <f t="shared" si="25"/>
        <v/>
      </c>
      <c r="AR48" s="2"/>
      <c r="AS48" s="58"/>
      <c r="AU48" s="2"/>
    </row>
    <row r="49" spans="1:48" s="3" customFormat="1" ht="16.5" customHeight="1" outlineLevel="1">
      <c r="A49" s="2"/>
      <c r="B49" s="24" t="s">
        <v>122</v>
      </c>
      <c r="C49" s="14" t="s">
        <v>123</v>
      </c>
      <c r="D49" s="15" t="s">
        <v>27</v>
      </c>
      <c r="E49" s="15" t="s">
        <v>93</v>
      </c>
      <c r="F49" s="23">
        <v>24</v>
      </c>
      <c r="G49" s="1">
        <v>30</v>
      </c>
      <c r="H49" s="63" t="str">
        <f t="shared" si="20"/>
        <v/>
      </c>
      <c r="I49" s="63" t="str">
        <f t="shared" si="20"/>
        <v/>
      </c>
      <c r="J49" s="63" t="str">
        <f t="shared" si="20"/>
        <v/>
      </c>
      <c r="K49" s="63" t="str">
        <f t="shared" si="20"/>
        <v/>
      </c>
      <c r="L49" s="63" t="str">
        <f t="shared" si="20"/>
        <v/>
      </c>
      <c r="M49" s="63" t="str">
        <f t="shared" si="20"/>
        <v/>
      </c>
      <c r="N49" s="63" t="str">
        <f t="shared" si="20"/>
        <v/>
      </c>
      <c r="O49" s="63" t="str">
        <f t="shared" si="20"/>
        <v/>
      </c>
      <c r="P49" s="63" t="str">
        <f t="shared" si="20"/>
        <v/>
      </c>
      <c r="Q49" s="63" t="str">
        <f t="shared" si="20"/>
        <v/>
      </c>
      <c r="R49" s="63" t="str">
        <f t="shared" si="21"/>
        <v/>
      </c>
      <c r="S49" s="64" t="str">
        <f t="shared" si="21"/>
        <v/>
      </c>
      <c r="T49" s="65" t="str">
        <f t="shared" si="21"/>
        <v/>
      </c>
      <c r="U49" s="63" t="str">
        <f t="shared" si="21"/>
        <v/>
      </c>
      <c r="V49" s="63" t="str">
        <f t="shared" si="21"/>
        <v/>
      </c>
      <c r="W49" s="63" t="str">
        <f t="shared" si="21"/>
        <v/>
      </c>
      <c r="X49" s="63" t="str">
        <f t="shared" si="21"/>
        <v/>
      </c>
      <c r="Y49" s="63" t="str">
        <f t="shared" si="21"/>
        <v/>
      </c>
      <c r="Z49" s="63" t="str">
        <f t="shared" si="21"/>
        <v/>
      </c>
      <c r="AA49" s="63" t="str">
        <f t="shared" si="21"/>
        <v/>
      </c>
      <c r="AB49" s="63" t="str">
        <f t="shared" si="22"/>
        <v/>
      </c>
      <c r="AC49" s="63" t="str">
        <f t="shared" si="22"/>
        <v/>
      </c>
      <c r="AD49" s="63" t="str">
        <f t="shared" si="22"/>
        <v/>
      </c>
      <c r="AE49" s="64" t="str">
        <f t="shared" si="22"/>
        <v/>
      </c>
      <c r="AF49" s="65" t="str">
        <f t="shared" si="22"/>
        <v/>
      </c>
      <c r="AG49" s="63" t="str">
        <f t="shared" si="22"/>
        <v/>
      </c>
      <c r="AH49" s="63" t="str">
        <f t="shared" si="24"/>
        <v/>
      </c>
      <c r="AI49" s="63" t="str">
        <f t="shared" si="23"/>
        <v/>
      </c>
      <c r="AJ49" s="63" t="str">
        <f t="shared" si="23"/>
        <v/>
      </c>
      <c r="AK49" s="63" t="str">
        <f t="shared" si="23"/>
        <v/>
      </c>
      <c r="AL49" s="63" t="str">
        <f t="shared" si="23"/>
        <v/>
      </c>
      <c r="AM49" s="63" t="str">
        <f t="shared" si="23"/>
        <v/>
      </c>
      <c r="AN49" s="63" t="str">
        <f t="shared" si="23"/>
        <v/>
      </c>
      <c r="AO49" s="63" t="str">
        <f t="shared" si="23"/>
        <v/>
      </c>
      <c r="AP49" s="63" t="str">
        <f t="shared" si="23"/>
        <v/>
      </c>
      <c r="AQ49" s="64" t="str">
        <f t="shared" si="25"/>
        <v/>
      </c>
      <c r="AR49" s="2"/>
      <c r="AS49" s="58"/>
      <c r="AU49" s="2"/>
    </row>
    <row r="50" spans="1:48" s="3" customFormat="1" ht="16.5" customHeight="1" outlineLevel="1">
      <c r="A50" s="2"/>
      <c r="B50" s="13" t="s">
        <v>124</v>
      </c>
      <c r="C50" s="22" t="s">
        <v>125</v>
      </c>
      <c r="D50" s="15" t="s">
        <v>27</v>
      </c>
      <c r="E50" s="15" t="s">
        <v>93</v>
      </c>
      <c r="F50" s="1">
        <v>24</v>
      </c>
      <c r="G50" s="1">
        <v>36</v>
      </c>
      <c r="H50" s="63" t="str">
        <f t="shared" si="20"/>
        <v/>
      </c>
      <c r="I50" s="63" t="str">
        <f t="shared" si="20"/>
        <v/>
      </c>
      <c r="J50" s="63" t="str">
        <f t="shared" si="20"/>
        <v/>
      </c>
      <c r="K50" s="63" t="str">
        <f t="shared" si="20"/>
        <v/>
      </c>
      <c r="L50" s="63" t="str">
        <f t="shared" si="20"/>
        <v/>
      </c>
      <c r="M50" s="63" t="str">
        <f t="shared" si="20"/>
        <v/>
      </c>
      <c r="N50" s="63" t="str">
        <f t="shared" si="20"/>
        <v/>
      </c>
      <c r="O50" s="63" t="str">
        <f t="shared" si="20"/>
        <v/>
      </c>
      <c r="P50" s="63" t="str">
        <f t="shared" si="20"/>
        <v/>
      </c>
      <c r="Q50" s="63" t="str">
        <f t="shared" si="20"/>
        <v/>
      </c>
      <c r="R50" s="63" t="str">
        <f t="shared" si="21"/>
        <v/>
      </c>
      <c r="S50" s="64" t="str">
        <f t="shared" si="21"/>
        <v/>
      </c>
      <c r="T50" s="65" t="str">
        <f t="shared" si="21"/>
        <v/>
      </c>
      <c r="U50" s="63" t="str">
        <f t="shared" si="21"/>
        <v/>
      </c>
      <c r="V50" s="63" t="str">
        <f t="shared" si="21"/>
        <v/>
      </c>
      <c r="W50" s="63" t="str">
        <f t="shared" si="21"/>
        <v/>
      </c>
      <c r="X50" s="63" t="str">
        <f t="shared" si="21"/>
        <v/>
      </c>
      <c r="Y50" s="63" t="str">
        <f t="shared" si="21"/>
        <v/>
      </c>
      <c r="Z50" s="63" t="str">
        <f t="shared" si="21"/>
        <v/>
      </c>
      <c r="AA50" s="63" t="str">
        <f t="shared" si="21"/>
        <v/>
      </c>
      <c r="AB50" s="63" t="str">
        <f t="shared" si="22"/>
        <v/>
      </c>
      <c r="AC50" s="63" t="str">
        <f t="shared" si="22"/>
        <v/>
      </c>
      <c r="AD50" s="63" t="str">
        <f t="shared" si="22"/>
        <v/>
      </c>
      <c r="AE50" s="64" t="str">
        <f t="shared" si="22"/>
        <v/>
      </c>
      <c r="AF50" s="65" t="str">
        <f t="shared" si="22"/>
        <v/>
      </c>
      <c r="AG50" s="63" t="str">
        <f t="shared" si="22"/>
        <v/>
      </c>
      <c r="AH50" s="63" t="str">
        <f t="shared" si="24"/>
        <v/>
      </c>
      <c r="AI50" s="63" t="str">
        <f t="shared" si="23"/>
        <v/>
      </c>
      <c r="AJ50" s="63" t="str">
        <f t="shared" si="23"/>
        <v/>
      </c>
      <c r="AK50" s="63" t="str">
        <f t="shared" si="23"/>
        <v/>
      </c>
      <c r="AL50" s="63" t="str">
        <f t="shared" si="23"/>
        <v/>
      </c>
      <c r="AM50" s="63" t="str">
        <f t="shared" si="23"/>
        <v/>
      </c>
      <c r="AN50" s="63" t="str">
        <f t="shared" si="23"/>
        <v/>
      </c>
      <c r="AO50" s="63" t="str">
        <f t="shared" si="23"/>
        <v/>
      </c>
      <c r="AP50" s="63" t="str">
        <f t="shared" si="23"/>
        <v/>
      </c>
      <c r="AQ50" s="64" t="str">
        <f t="shared" si="25"/>
        <v/>
      </c>
      <c r="AR50" s="2"/>
      <c r="AS50" s="58"/>
      <c r="AU50" s="2"/>
    </row>
    <row r="51" spans="1:48" s="3" customFormat="1" ht="16.5" customHeight="1" outlineLevel="1">
      <c r="A51" s="2"/>
      <c r="B51" s="13" t="s">
        <v>126</v>
      </c>
      <c r="C51" s="22" t="s">
        <v>127</v>
      </c>
      <c r="D51" s="15" t="s">
        <v>27</v>
      </c>
      <c r="E51" s="15" t="s">
        <v>93</v>
      </c>
      <c r="F51" s="1">
        <v>28</v>
      </c>
      <c r="G51" s="1">
        <v>36</v>
      </c>
      <c r="H51" s="63" t="str">
        <f t="shared" si="20"/>
        <v/>
      </c>
      <c r="I51" s="63" t="str">
        <f t="shared" si="20"/>
        <v/>
      </c>
      <c r="J51" s="63" t="str">
        <f t="shared" si="20"/>
        <v/>
      </c>
      <c r="K51" s="63" t="str">
        <f t="shared" si="20"/>
        <v/>
      </c>
      <c r="L51" s="63" t="str">
        <f t="shared" si="20"/>
        <v/>
      </c>
      <c r="M51" s="63" t="str">
        <f t="shared" si="20"/>
        <v/>
      </c>
      <c r="N51" s="63" t="str">
        <f t="shared" si="20"/>
        <v/>
      </c>
      <c r="O51" s="63" t="str">
        <f t="shared" si="20"/>
        <v/>
      </c>
      <c r="P51" s="63" t="str">
        <f t="shared" si="20"/>
        <v/>
      </c>
      <c r="Q51" s="63" t="str">
        <f t="shared" si="20"/>
        <v/>
      </c>
      <c r="R51" s="63" t="str">
        <f t="shared" si="21"/>
        <v/>
      </c>
      <c r="S51" s="64" t="str">
        <f t="shared" si="21"/>
        <v/>
      </c>
      <c r="T51" s="65" t="str">
        <f t="shared" si="21"/>
        <v/>
      </c>
      <c r="U51" s="63" t="str">
        <f t="shared" si="21"/>
        <v/>
      </c>
      <c r="V51" s="63" t="str">
        <f t="shared" si="21"/>
        <v/>
      </c>
      <c r="W51" s="63" t="str">
        <f t="shared" si="21"/>
        <v/>
      </c>
      <c r="X51" s="63" t="str">
        <f t="shared" si="21"/>
        <v/>
      </c>
      <c r="Y51" s="63" t="str">
        <f t="shared" si="21"/>
        <v/>
      </c>
      <c r="Z51" s="63" t="str">
        <f t="shared" si="21"/>
        <v/>
      </c>
      <c r="AA51" s="63" t="str">
        <f t="shared" si="21"/>
        <v/>
      </c>
      <c r="AB51" s="63" t="str">
        <f t="shared" si="22"/>
        <v/>
      </c>
      <c r="AC51" s="63" t="str">
        <f t="shared" si="22"/>
        <v/>
      </c>
      <c r="AD51" s="63" t="str">
        <f t="shared" si="22"/>
        <v/>
      </c>
      <c r="AE51" s="64" t="str">
        <f t="shared" si="22"/>
        <v/>
      </c>
      <c r="AF51" s="65" t="str">
        <f t="shared" si="22"/>
        <v/>
      </c>
      <c r="AG51" s="63" t="str">
        <f t="shared" si="22"/>
        <v/>
      </c>
      <c r="AH51" s="63" t="str">
        <f t="shared" si="24"/>
        <v/>
      </c>
      <c r="AI51" s="63" t="str">
        <f t="shared" si="23"/>
        <v/>
      </c>
      <c r="AJ51" s="63" t="str">
        <f t="shared" si="23"/>
        <v/>
      </c>
      <c r="AK51" s="63" t="str">
        <f t="shared" si="23"/>
        <v/>
      </c>
      <c r="AL51" s="63" t="str">
        <f t="shared" si="23"/>
        <v/>
      </c>
      <c r="AM51" s="63" t="str">
        <f t="shared" si="23"/>
        <v/>
      </c>
      <c r="AN51" s="63" t="str">
        <f t="shared" si="23"/>
        <v/>
      </c>
      <c r="AO51" s="63" t="str">
        <f t="shared" si="23"/>
        <v/>
      </c>
      <c r="AP51" s="63" t="str">
        <f t="shared" si="23"/>
        <v/>
      </c>
      <c r="AQ51" s="64" t="str">
        <f t="shared" si="25"/>
        <v/>
      </c>
      <c r="AR51" s="2"/>
      <c r="AS51" s="58"/>
      <c r="AU51" s="2"/>
    </row>
    <row r="52" spans="1:48" s="3" customFormat="1" ht="16.5" customHeight="1" outlineLevel="2">
      <c r="A52" s="2"/>
      <c r="B52" s="38" t="s">
        <v>128</v>
      </c>
      <c r="C52" s="49" t="s">
        <v>129</v>
      </c>
      <c r="D52" s="44" t="s">
        <v>37</v>
      </c>
      <c r="E52" s="44" t="s">
        <v>93</v>
      </c>
      <c r="F52" s="39">
        <v>30</v>
      </c>
      <c r="G52" s="39">
        <f>F52</f>
        <v>30</v>
      </c>
      <c r="H52" s="66" t="str">
        <f t="shared" si="20"/>
        <v/>
      </c>
      <c r="I52" s="66" t="str">
        <f t="shared" si="20"/>
        <v/>
      </c>
      <c r="J52" s="66" t="str">
        <f t="shared" si="20"/>
        <v/>
      </c>
      <c r="K52" s="66" t="str">
        <f t="shared" si="20"/>
        <v/>
      </c>
      <c r="L52" s="66" t="str">
        <f t="shared" si="20"/>
        <v/>
      </c>
      <c r="M52" s="66" t="str">
        <f t="shared" si="20"/>
        <v/>
      </c>
      <c r="N52" s="66" t="str">
        <f t="shared" si="20"/>
        <v/>
      </c>
      <c r="O52" s="66" t="str">
        <f t="shared" si="20"/>
        <v/>
      </c>
      <c r="P52" s="66" t="str">
        <f t="shared" si="20"/>
        <v/>
      </c>
      <c r="Q52" s="66" t="str">
        <f t="shared" si="20"/>
        <v/>
      </c>
      <c r="R52" s="66" t="str">
        <f t="shared" si="21"/>
        <v/>
      </c>
      <c r="S52" s="67" t="str">
        <f t="shared" si="21"/>
        <v/>
      </c>
      <c r="T52" s="68" t="str">
        <f t="shared" si="21"/>
        <v/>
      </c>
      <c r="U52" s="66" t="str">
        <f t="shared" si="21"/>
        <v/>
      </c>
      <c r="V52" s="66" t="str">
        <f t="shared" si="21"/>
        <v/>
      </c>
      <c r="W52" s="66" t="str">
        <f t="shared" si="21"/>
        <v/>
      </c>
      <c r="X52" s="66" t="str">
        <f t="shared" si="21"/>
        <v/>
      </c>
      <c r="Y52" s="66" t="str">
        <f t="shared" si="21"/>
        <v/>
      </c>
      <c r="Z52" s="66" t="str">
        <f t="shared" si="21"/>
        <v/>
      </c>
      <c r="AA52" s="66" t="str">
        <f t="shared" si="21"/>
        <v/>
      </c>
      <c r="AB52" s="66" t="str">
        <f t="shared" si="22"/>
        <v/>
      </c>
      <c r="AC52" s="66" t="str">
        <f t="shared" si="22"/>
        <v/>
      </c>
      <c r="AD52" s="66" t="str">
        <f t="shared" si="22"/>
        <v/>
      </c>
      <c r="AE52" s="67" t="str">
        <f t="shared" si="22"/>
        <v/>
      </c>
      <c r="AF52" s="68" t="str">
        <f t="shared" si="22"/>
        <v/>
      </c>
      <c r="AG52" s="66" t="str">
        <f t="shared" si="22"/>
        <v/>
      </c>
      <c r="AH52" s="66" t="str">
        <f t="shared" si="24"/>
        <v/>
      </c>
      <c r="AI52" s="66" t="str">
        <f t="shared" si="23"/>
        <v/>
      </c>
      <c r="AJ52" s="66" t="str">
        <f t="shared" si="23"/>
        <v/>
      </c>
      <c r="AK52" s="66">
        <f t="shared" si="23"/>
        <v>2</v>
      </c>
      <c r="AL52" s="66" t="str">
        <f t="shared" si="23"/>
        <v/>
      </c>
      <c r="AM52" s="66" t="str">
        <f t="shared" si="23"/>
        <v/>
      </c>
      <c r="AN52" s="66" t="str">
        <f t="shared" si="23"/>
        <v/>
      </c>
      <c r="AO52" s="66" t="str">
        <f t="shared" si="23"/>
        <v/>
      </c>
      <c r="AP52" s="66" t="str">
        <f t="shared" si="23"/>
        <v/>
      </c>
      <c r="AQ52" s="67" t="str">
        <f t="shared" si="25"/>
        <v/>
      </c>
      <c r="AR52" s="61"/>
      <c r="AS52" s="42" t="s">
        <v>72</v>
      </c>
      <c r="AT52" s="3" t="s">
        <v>38</v>
      </c>
      <c r="AU52" s="2"/>
    </row>
    <row r="53" spans="1:48" s="3" customFormat="1" ht="16.5" customHeight="1" outlineLevel="2">
      <c r="A53" s="2"/>
      <c r="B53" s="36" t="s">
        <v>130</v>
      </c>
      <c r="C53" s="50" t="s">
        <v>131</v>
      </c>
      <c r="D53" s="45" t="s">
        <v>37</v>
      </c>
      <c r="E53" s="45" t="s">
        <v>93</v>
      </c>
      <c r="F53" s="40">
        <v>36</v>
      </c>
      <c r="G53" s="40">
        <f t="shared" ref="G53:G55" si="26">F53</f>
        <v>36</v>
      </c>
      <c r="H53" s="66" t="str">
        <f t="shared" si="20"/>
        <v/>
      </c>
      <c r="I53" s="66" t="str">
        <f t="shared" si="20"/>
        <v/>
      </c>
      <c r="J53" s="66" t="str">
        <f t="shared" si="20"/>
        <v/>
      </c>
      <c r="K53" s="66" t="str">
        <f t="shared" si="20"/>
        <v/>
      </c>
      <c r="L53" s="66" t="str">
        <f t="shared" si="20"/>
        <v/>
      </c>
      <c r="M53" s="66" t="str">
        <f t="shared" si="20"/>
        <v/>
      </c>
      <c r="N53" s="66" t="str">
        <f t="shared" si="20"/>
        <v/>
      </c>
      <c r="O53" s="66" t="str">
        <f t="shared" si="20"/>
        <v/>
      </c>
      <c r="P53" s="66" t="str">
        <f t="shared" si="20"/>
        <v/>
      </c>
      <c r="Q53" s="66" t="str">
        <f t="shared" si="20"/>
        <v/>
      </c>
      <c r="R53" s="66" t="str">
        <f t="shared" si="21"/>
        <v/>
      </c>
      <c r="S53" s="67" t="str">
        <f t="shared" si="21"/>
        <v/>
      </c>
      <c r="T53" s="68" t="str">
        <f t="shared" si="21"/>
        <v/>
      </c>
      <c r="U53" s="66" t="str">
        <f t="shared" si="21"/>
        <v/>
      </c>
      <c r="V53" s="66" t="str">
        <f t="shared" si="21"/>
        <v/>
      </c>
      <c r="W53" s="66" t="str">
        <f t="shared" si="21"/>
        <v/>
      </c>
      <c r="X53" s="66" t="str">
        <f t="shared" si="21"/>
        <v/>
      </c>
      <c r="Y53" s="66" t="str">
        <f t="shared" si="21"/>
        <v/>
      </c>
      <c r="Z53" s="66" t="str">
        <f t="shared" si="21"/>
        <v/>
      </c>
      <c r="AA53" s="66" t="str">
        <f t="shared" si="21"/>
        <v/>
      </c>
      <c r="AB53" s="66" t="str">
        <f t="shared" si="22"/>
        <v/>
      </c>
      <c r="AC53" s="66" t="str">
        <f t="shared" si="22"/>
        <v/>
      </c>
      <c r="AD53" s="66" t="str">
        <f t="shared" si="22"/>
        <v/>
      </c>
      <c r="AE53" s="67" t="str">
        <f t="shared" si="22"/>
        <v/>
      </c>
      <c r="AF53" s="68" t="str">
        <f t="shared" si="22"/>
        <v/>
      </c>
      <c r="AG53" s="66" t="str">
        <f t="shared" si="22"/>
        <v/>
      </c>
      <c r="AH53" s="66" t="str">
        <f t="shared" si="24"/>
        <v/>
      </c>
      <c r="AI53" s="66" t="str">
        <f t="shared" si="23"/>
        <v/>
      </c>
      <c r="AJ53" s="66" t="str">
        <f t="shared" si="23"/>
        <v/>
      </c>
      <c r="AK53" s="66" t="str">
        <f t="shared" si="23"/>
        <v/>
      </c>
      <c r="AL53" s="66" t="str">
        <f t="shared" si="23"/>
        <v/>
      </c>
      <c r="AM53" s="66" t="str">
        <f t="shared" si="23"/>
        <v/>
      </c>
      <c r="AN53" s="66" t="str">
        <f t="shared" si="23"/>
        <v/>
      </c>
      <c r="AO53" s="66" t="str">
        <f t="shared" si="23"/>
        <v/>
      </c>
      <c r="AP53" s="66" t="str">
        <f t="shared" si="23"/>
        <v/>
      </c>
      <c r="AQ53" s="67">
        <f t="shared" si="25"/>
        <v>2</v>
      </c>
      <c r="AR53" s="60"/>
      <c r="AS53" s="42" t="s">
        <v>72</v>
      </c>
      <c r="AT53" s="3" t="s">
        <v>42</v>
      </c>
      <c r="AU53" s="2"/>
    </row>
    <row r="54" spans="1:48" s="3" customFormat="1" ht="16.5" customHeight="1" outlineLevel="2">
      <c r="A54" s="2"/>
      <c r="B54" s="36" t="s">
        <v>132</v>
      </c>
      <c r="C54" s="50" t="s">
        <v>133</v>
      </c>
      <c r="D54" s="45" t="s">
        <v>37</v>
      </c>
      <c r="E54" s="45" t="s">
        <v>93</v>
      </c>
      <c r="F54" s="40">
        <v>36</v>
      </c>
      <c r="G54" s="40">
        <f t="shared" si="26"/>
        <v>36</v>
      </c>
      <c r="H54" s="66" t="str">
        <f t="shared" si="20"/>
        <v/>
      </c>
      <c r="I54" s="66" t="str">
        <f t="shared" si="20"/>
        <v/>
      </c>
      <c r="J54" s="66" t="str">
        <f t="shared" si="20"/>
        <v/>
      </c>
      <c r="K54" s="66" t="str">
        <f t="shared" si="20"/>
        <v/>
      </c>
      <c r="L54" s="66" t="str">
        <f t="shared" si="20"/>
        <v/>
      </c>
      <c r="M54" s="66" t="str">
        <f t="shared" si="20"/>
        <v/>
      </c>
      <c r="N54" s="66" t="str">
        <f t="shared" si="20"/>
        <v/>
      </c>
      <c r="O54" s="66" t="str">
        <f t="shared" si="20"/>
        <v/>
      </c>
      <c r="P54" s="66" t="str">
        <f t="shared" si="20"/>
        <v/>
      </c>
      <c r="Q54" s="66" t="str">
        <f t="shared" si="20"/>
        <v/>
      </c>
      <c r="R54" s="66" t="str">
        <f t="shared" si="21"/>
        <v/>
      </c>
      <c r="S54" s="67" t="str">
        <f t="shared" si="21"/>
        <v/>
      </c>
      <c r="T54" s="68" t="str">
        <f t="shared" si="21"/>
        <v/>
      </c>
      <c r="U54" s="66" t="str">
        <f t="shared" si="21"/>
        <v/>
      </c>
      <c r="V54" s="66" t="str">
        <f t="shared" si="21"/>
        <v/>
      </c>
      <c r="W54" s="66" t="str">
        <f t="shared" si="21"/>
        <v/>
      </c>
      <c r="X54" s="66" t="str">
        <f t="shared" si="21"/>
        <v/>
      </c>
      <c r="Y54" s="66" t="str">
        <f t="shared" si="21"/>
        <v/>
      </c>
      <c r="Z54" s="66" t="str">
        <f t="shared" si="21"/>
        <v/>
      </c>
      <c r="AA54" s="66" t="str">
        <f t="shared" si="21"/>
        <v/>
      </c>
      <c r="AB54" s="66" t="str">
        <f t="shared" si="22"/>
        <v/>
      </c>
      <c r="AC54" s="66" t="str">
        <f t="shared" si="22"/>
        <v/>
      </c>
      <c r="AD54" s="66" t="str">
        <f t="shared" si="22"/>
        <v/>
      </c>
      <c r="AE54" s="67" t="str">
        <f t="shared" si="22"/>
        <v/>
      </c>
      <c r="AF54" s="68" t="str">
        <f t="shared" si="22"/>
        <v/>
      </c>
      <c r="AG54" s="66" t="str">
        <f t="shared" si="22"/>
        <v/>
      </c>
      <c r="AH54" s="66" t="str">
        <f t="shared" si="24"/>
        <v/>
      </c>
      <c r="AI54" s="66" t="str">
        <f t="shared" si="23"/>
        <v/>
      </c>
      <c r="AJ54" s="66" t="str">
        <f t="shared" si="23"/>
        <v/>
      </c>
      <c r="AK54" s="66" t="str">
        <f t="shared" si="23"/>
        <v/>
      </c>
      <c r="AL54" s="66" t="str">
        <f t="shared" si="23"/>
        <v/>
      </c>
      <c r="AM54" s="66" t="str">
        <f t="shared" si="23"/>
        <v/>
      </c>
      <c r="AN54" s="66" t="str">
        <f t="shared" si="23"/>
        <v/>
      </c>
      <c r="AO54" s="66" t="str">
        <f t="shared" si="23"/>
        <v/>
      </c>
      <c r="AP54" s="66" t="str">
        <f t="shared" si="23"/>
        <v/>
      </c>
      <c r="AQ54" s="67">
        <f t="shared" si="25"/>
        <v>2</v>
      </c>
      <c r="AR54" s="60"/>
      <c r="AS54" s="42" t="s">
        <v>77</v>
      </c>
      <c r="AT54" s="3" t="s">
        <v>42</v>
      </c>
      <c r="AU54" s="2"/>
    </row>
    <row r="55" spans="1:48" s="3" customFormat="1" ht="16.5" customHeight="1" outlineLevel="1">
      <c r="A55" s="2"/>
      <c r="B55" s="46" t="s">
        <v>134</v>
      </c>
      <c r="C55" s="47" t="s">
        <v>135</v>
      </c>
      <c r="D55" s="48" t="s">
        <v>47</v>
      </c>
      <c r="E55" s="48" t="s">
        <v>93</v>
      </c>
      <c r="F55" s="41">
        <v>30</v>
      </c>
      <c r="G55" s="41">
        <f t="shared" si="26"/>
        <v>30</v>
      </c>
      <c r="H55" s="66" t="str">
        <f t="shared" si="20"/>
        <v/>
      </c>
      <c r="I55" s="66" t="str">
        <f t="shared" si="20"/>
        <v/>
      </c>
      <c r="J55" s="66" t="str">
        <f t="shared" si="20"/>
        <v/>
      </c>
      <c r="K55" s="66" t="str">
        <f t="shared" si="20"/>
        <v/>
      </c>
      <c r="L55" s="66" t="str">
        <f t="shared" si="20"/>
        <v/>
      </c>
      <c r="M55" s="66" t="str">
        <f t="shared" si="20"/>
        <v/>
      </c>
      <c r="N55" s="66" t="str">
        <f t="shared" si="20"/>
        <v/>
      </c>
      <c r="O55" s="66" t="str">
        <f t="shared" si="20"/>
        <v/>
      </c>
      <c r="P55" s="66" t="str">
        <f t="shared" si="20"/>
        <v/>
      </c>
      <c r="Q55" s="66" t="str">
        <f t="shared" si="20"/>
        <v/>
      </c>
      <c r="R55" s="66" t="str">
        <f t="shared" si="21"/>
        <v/>
      </c>
      <c r="S55" s="67" t="str">
        <f t="shared" si="21"/>
        <v/>
      </c>
      <c r="T55" s="68" t="str">
        <f t="shared" si="21"/>
        <v/>
      </c>
      <c r="U55" s="66" t="str">
        <f t="shared" si="21"/>
        <v/>
      </c>
      <c r="V55" s="66" t="str">
        <f t="shared" si="21"/>
        <v/>
      </c>
      <c r="W55" s="66" t="str">
        <f t="shared" si="21"/>
        <v/>
      </c>
      <c r="X55" s="66" t="str">
        <f t="shared" si="21"/>
        <v/>
      </c>
      <c r="Y55" s="66" t="str">
        <f t="shared" si="21"/>
        <v/>
      </c>
      <c r="Z55" s="66" t="str">
        <f t="shared" si="21"/>
        <v/>
      </c>
      <c r="AA55" s="66" t="str">
        <f t="shared" si="21"/>
        <v/>
      </c>
      <c r="AB55" s="66" t="str">
        <f t="shared" si="22"/>
        <v/>
      </c>
      <c r="AC55" s="66" t="str">
        <f t="shared" si="22"/>
        <v/>
      </c>
      <c r="AD55" s="66" t="str">
        <f t="shared" si="22"/>
        <v/>
      </c>
      <c r="AE55" s="67" t="str">
        <f t="shared" si="22"/>
        <v/>
      </c>
      <c r="AF55" s="68" t="str">
        <f t="shared" si="22"/>
        <v/>
      </c>
      <c r="AG55" s="66" t="str">
        <f t="shared" si="22"/>
        <v/>
      </c>
      <c r="AH55" s="66" t="str">
        <f t="shared" si="24"/>
        <v/>
      </c>
      <c r="AI55" s="66" t="str">
        <f t="shared" si="23"/>
        <v/>
      </c>
      <c r="AJ55" s="66" t="str">
        <f t="shared" si="23"/>
        <v/>
      </c>
      <c r="AK55" s="66">
        <f t="shared" si="23"/>
        <v>1</v>
      </c>
      <c r="AL55" s="66" t="str">
        <f t="shared" si="23"/>
        <v/>
      </c>
      <c r="AM55" s="66" t="str">
        <f t="shared" si="23"/>
        <v/>
      </c>
      <c r="AN55" s="66" t="str">
        <f t="shared" si="23"/>
        <v/>
      </c>
      <c r="AO55" s="66" t="str">
        <f t="shared" si="23"/>
        <v/>
      </c>
      <c r="AP55" s="66" t="str">
        <f t="shared" si="23"/>
        <v/>
      </c>
      <c r="AQ55" s="67" t="str">
        <f t="shared" si="25"/>
        <v/>
      </c>
      <c r="AR55" s="62"/>
      <c r="AS55" s="42" t="s">
        <v>72</v>
      </c>
      <c r="AU55" s="2"/>
    </row>
    <row r="56" spans="1:48" s="3" customFormat="1" ht="16.5" customHeight="1" outlineLevel="1">
      <c r="A56" s="2"/>
      <c r="B56" s="36" t="s">
        <v>136</v>
      </c>
      <c r="C56" s="37" t="s">
        <v>137</v>
      </c>
      <c r="D56" s="45" t="s">
        <v>47</v>
      </c>
      <c r="E56" s="45" t="s">
        <v>77</v>
      </c>
      <c r="F56" s="40">
        <v>36</v>
      </c>
      <c r="G56" s="40">
        <v>36</v>
      </c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7"/>
      <c r="T56" s="68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7"/>
      <c r="AF56" s="68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>
        <f t="shared" si="25"/>
        <v>1</v>
      </c>
      <c r="AR56" s="60"/>
      <c r="AS56" s="83"/>
      <c r="AU56" s="2"/>
    </row>
    <row r="57" spans="1:48" s="3" customFormat="1" ht="16.5" customHeight="1">
      <c r="A57" s="2"/>
      <c r="B57" s="8" t="s">
        <v>138</v>
      </c>
      <c r="C57" s="9" t="s">
        <v>139</v>
      </c>
      <c r="D57" s="10" t="s">
        <v>23</v>
      </c>
      <c r="E57" s="10" t="s">
        <v>24</v>
      </c>
      <c r="F57" s="11">
        <f>MIN(F58:F64)</f>
        <v>1</v>
      </c>
      <c r="G57" s="11">
        <f>MAX(G58:G64)</f>
        <v>36</v>
      </c>
      <c r="H57" s="63" t="str">
        <f t="shared" ref="H57:Q60" si="27">IF(AND($D57=$D$76,$F57=H$4),2,IF(AND($D57=$D$75,$F57=H$4),1,""))</f>
        <v/>
      </c>
      <c r="I57" s="63" t="str">
        <f t="shared" si="27"/>
        <v/>
      </c>
      <c r="J57" s="63" t="str">
        <f t="shared" si="27"/>
        <v/>
      </c>
      <c r="K57" s="63" t="str">
        <f t="shared" si="27"/>
        <v/>
      </c>
      <c r="L57" s="63" t="str">
        <f t="shared" si="27"/>
        <v/>
      </c>
      <c r="M57" s="63" t="str">
        <f t="shared" si="27"/>
        <v/>
      </c>
      <c r="N57" s="63" t="str">
        <f t="shared" si="27"/>
        <v/>
      </c>
      <c r="O57" s="63" t="str">
        <f t="shared" si="27"/>
        <v/>
      </c>
      <c r="P57" s="63" t="str">
        <f t="shared" si="27"/>
        <v/>
      </c>
      <c r="Q57" s="63" t="str">
        <f t="shared" si="27"/>
        <v/>
      </c>
      <c r="R57" s="63" t="str">
        <f t="shared" ref="R57:AA60" si="28">IF(AND($D57=$D$76,$F57=R$4),2,IF(AND($D57=$D$75,$F57=R$4),1,""))</f>
        <v/>
      </c>
      <c r="S57" s="64" t="str">
        <f t="shared" si="28"/>
        <v/>
      </c>
      <c r="T57" s="65" t="str">
        <f t="shared" si="28"/>
        <v/>
      </c>
      <c r="U57" s="63" t="str">
        <f t="shared" si="28"/>
        <v/>
      </c>
      <c r="V57" s="63" t="str">
        <f t="shared" si="28"/>
        <v/>
      </c>
      <c r="W57" s="63" t="str">
        <f t="shared" si="28"/>
        <v/>
      </c>
      <c r="X57" s="63" t="str">
        <f t="shared" si="28"/>
        <v/>
      </c>
      <c r="Y57" s="63" t="str">
        <f t="shared" si="28"/>
        <v/>
      </c>
      <c r="Z57" s="63" t="str">
        <f t="shared" si="28"/>
        <v/>
      </c>
      <c r="AA57" s="63" t="str">
        <f t="shared" si="28"/>
        <v/>
      </c>
      <c r="AB57" s="63" t="str">
        <f t="shared" ref="AB57:AP60" si="29">IF(AND($D57=$D$76,$F57=AB$4),2,IF(AND($D57=$D$75,$F57=AB$4),1,""))</f>
        <v/>
      </c>
      <c r="AC57" s="63" t="str">
        <f t="shared" si="29"/>
        <v/>
      </c>
      <c r="AD57" s="63" t="str">
        <f t="shared" si="29"/>
        <v/>
      </c>
      <c r="AE57" s="64" t="str">
        <f t="shared" si="29"/>
        <v/>
      </c>
      <c r="AF57" s="65" t="str">
        <f t="shared" si="29"/>
        <v/>
      </c>
      <c r="AG57" s="63" t="str">
        <f t="shared" si="29"/>
        <v/>
      </c>
      <c r="AH57" s="63" t="str">
        <f t="shared" si="29"/>
        <v/>
      </c>
      <c r="AI57" s="63" t="str">
        <f t="shared" si="29"/>
        <v/>
      </c>
      <c r="AJ57" s="63" t="str">
        <f t="shared" si="29"/>
        <v/>
      </c>
      <c r="AK57" s="63" t="str">
        <f t="shared" si="29"/>
        <v/>
      </c>
      <c r="AL57" s="63" t="str">
        <f t="shared" si="29"/>
        <v/>
      </c>
      <c r="AM57" s="63" t="str">
        <f t="shared" si="29"/>
        <v/>
      </c>
      <c r="AN57" s="63" t="str">
        <f t="shared" si="29"/>
        <v/>
      </c>
      <c r="AO57" s="63" t="str">
        <f t="shared" si="29"/>
        <v/>
      </c>
      <c r="AP57" s="63" t="str">
        <f t="shared" si="29"/>
        <v/>
      </c>
      <c r="AQ57" s="64" t="str">
        <f t="shared" si="25"/>
        <v/>
      </c>
      <c r="AR57" s="2"/>
      <c r="AS57" s="58"/>
      <c r="AU57" s="2"/>
    </row>
    <row r="58" spans="1:48" s="3" customFormat="1" ht="16.5" customHeight="1" outlineLevel="1">
      <c r="A58" s="2"/>
      <c r="B58" s="24" t="s">
        <v>140</v>
      </c>
      <c r="C58" s="25" t="s">
        <v>141</v>
      </c>
      <c r="D58" s="15" t="s">
        <v>27</v>
      </c>
      <c r="E58" s="15" t="s">
        <v>24</v>
      </c>
      <c r="F58" s="26">
        <v>1</v>
      </c>
      <c r="G58" s="26">
        <v>36</v>
      </c>
      <c r="H58" s="63" t="str">
        <f t="shared" si="27"/>
        <v/>
      </c>
      <c r="I58" s="63" t="str">
        <f t="shared" si="27"/>
        <v/>
      </c>
      <c r="J58" s="63" t="str">
        <f t="shared" si="27"/>
        <v/>
      </c>
      <c r="K58" s="63" t="str">
        <f t="shared" si="27"/>
        <v/>
      </c>
      <c r="L58" s="63" t="str">
        <f t="shared" si="27"/>
        <v/>
      </c>
      <c r="M58" s="63" t="str">
        <f t="shared" si="27"/>
        <v/>
      </c>
      <c r="N58" s="63" t="str">
        <f t="shared" si="27"/>
        <v/>
      </c>
      <c r="O58" s="63" t="str">
        <f t="shared" si="27"/>
        <v/>
      </c>
      <c r="P58" s="63" t="str">
        <f t="shared" si="27"/>
        <v/>
      </c>
      <c r="Q58" s="63" t="str">
        <f t="shared" si="27"/>
        <v/>
      </c>
      <c r="R58" s="63" t="str">
        <f t="shared" si="28"/>
        <v/>
      </c>
      <c r="S58" s="64" t="str">
        <f t="shared" si="28"/>
        <v/>
      </c>
      <c r="T58" s="65" t="str">
        <f t="shared" si="28"/>
        <v/>
      </c>
      <c r="U58" s="63" t="str">
        <f t="shared" si="28"/>
        <v/>
      </c>
      <c r="V58" s="63" t="str">
        <f t="shared" si="28"/>
        <v/>
      </c>
      <c r="W58" s="63" t="str">
        <f t="shared" si="28"/>
        <v/>
      </c>
      <c r="X58" s="63" t="str">
        <f t="shared" si="28"/>
        <v/>
      </c>
      <c r="Y58" s="63" t="str">
        <f t="shared" si="28"/>
        <v/>
      </c>
      <c r="Z58" s="63" t="str">
        <f t="shared" si="28"/>
        <v/>
      </c>
      <c r="AA58" s="63" t="str">
        <f t="shared" si="28"/>
        <v/>
      </c>
      <c r="AB58" s="63" t="str">
        <f t="shared" si="29"/>
        <v/>
      </c>
      <c r="AC58" s="63" t="str">
        <f t="shared" si="29"/>
        <v/>
      </c>
      <c r="AD58" s="63" t="str">
        <f t="shared" si="29"/>
        <v/>
      </c>
      <c r="AE58" s="64" t="str">
        <f t="shared" si="29"/>
        <v/>
      </c>
      <c r="AF58" s="65" t="str">
        <f t="shared" si="29"/>
        <v/>
      </c>
      <c r="AG58" s="63" t="str">
        <f t="shared" si="29"/>
        <v/>
      </c>
      <c r="AH58" s="63" t="str">
        <f t="shared" si="29"/>
        <v/>
      </c>
      <c r="AI58" s="63" t="str">
        <f t="shared" si="29"/>
        <v/>
      </c>
      <c r="AJ58" s="63" t="str">
        <f t="shared" si="29"/>
        <v/>
      </c>
      <c r="AK58" s="63" t="str">
        <f t="shared" si="29"/>
        <v/>
      </c>
      <c r="AL58" s="63" t="str">
        <f t="shared" si="29"/>
        <v/>
      </c>
      <c r="AM58" s="63" t="str">
        <f t="shared" si="29"/>
        <v/>
      </c>
      <c r="AN58" s="63" t="str">
        <f t="shared" si="29"/>
        <v/>
      </c>
      <c r="AO58" s="63" t="str">
        <f t="shared" si="29"/>
        <v/>
      </c>
      <c r="AP58" s="63" t="str">
        <f t="shared" si="29"/>
        <v/>
      </c>
      <c r="AQ58" s="64" t="str">
        <f t="shared" si="25"/>
        <v/>
      </c>
      <c r="AR58" s="2"/>
      <c r="AS58" s="58"/>
      <c r="AU58" s="2"/>
    </row>
    <row r="59" spans="1:48" s="3" customFormat="1" ht="16.5" customHeight="1" outlineLevel="1">
      <c r="A59" s="2"/>
      <c r="B59" s="24" t="s">
        <v>142</v>
      </c>
      <c r="C59" s="25" t="s">
        <v>143</v>
      </c>
      <c r="D59" s="15" t="s">
        <v>27</v>
      </c>
      <c r="E59" s="15" t="s">
        <v>24</v>
      </c>
      <c r="F59" s="26">
        <v>1</v>
      </c>
      <c r="G59" s="26">
        <v>36</v>
      </c>
      <c r="H59" s="63" t="str">
        <f t="shared" si="27"/>
        <v/>
      </c>
      <c r="I59" s="63" t="str">
        <f t="shared" si="27"/>
        <v/>
      </c>
      <c r="J59" s="63" t="str">
        <f t="shared" si="27"/>
        <v/>
      </c>
      <c r="K59" s="63" t="str">
        <f t="shared" si="27"/>
        <v/>
      </c>
      <c r="L59" s="63" t="str">
        <f t="shared" si="27"/>
        <v/>
      </c>
      <c r="M59" s="63" t="str">
        <f t="shared" si="27"/>
        <v/>
      </c>
      <c r="N59" s="63" t="str">
        <f t="shared" si="27"/>
        <v/>
      </c>
      <c r="O59" s="63" t="str">
        <f t="shared" si="27"/>
        <v/>
      </c>
      <c r="P59" s="63" t="str">
        <f t="shared" si="27"/>
        <v/>
      </c>
      <c r="Q59" s="63" t="str">
        <f t="shared" si="27"/>
        <v/>
      </c>
      <c r="R59" s="63" t="str">
        <f t="shared" si="28"/>
        <v/>
      </c>
      <c r="S59" s="64" t="str">
        <f t="shared" si="28"/>
        <v/>
      </c>
      <c r="T59" s="65" t="str">
        <f t="shared" si="28"/>
        <v/>
      </c>
      <c r="U59" s="63" t="str">
        <f t="shared" si="28"/>
        <v/>
      </c>
      <c r="V59" s="63" t="str">
        <f t="shared" si="28"/>
        <v/>
      </c>
      <c r="W59" s="63" t="str">
        <f t="shared" si="28"/>
        <v/>
      </c>
      <c r="X59" s="63" t="str">
        <f t="shared" si="28"/>
        <v/>
      </c>
      <c r="Y59" s="63" t="str">
        <f t="shared" si="28"/>
        <v/>
      </c>
      <c r="Z59" s="63" t="str">
        <f t="shared" si="28"/>
        <v/>
      </c>
      <c r="AA59" s="63" t="str">
        <f t="shared" si="28"/>
        <v/>
      </c>
      <c r="AB59" s="63" t="str">
        <f t="shared" si="29"/>
        <v/>
      </c>
      <c r="AC59" s="63" t="str">
        <f t="shared" si="29"/>
        <v/>
      </c>
      <c r="AD59" s="63" t="str">
        <f t="shared" si="29"/>
        <v/>
      </c>
      <c r="AE59" s="64" t="str">
        <f t="shared" si="29"/>
        <v/>
      </c>
      <c r="AF59" s="65" t="str">
        <f t="shared" si="29"/>
        <v/>
      </c>
      <c r="AG59" s="63" t="str">
        <f t="shared" si="29"/>
        <v/>
      </c>
      <c r="AH59" s="63" t="str">
        <f t="shared" si="29"/>
        <v/>
      </c>
      <c r="AI59" s="63" t="str">
        <f t="shared" si="29"/>
        <v/>
      </c>
      <c r="AJ59" s="63" t="str">
        <f t="shared" si="29"/>
        <v/>
      </c>
      <c r="AK59" s="63" t="str">
        <f t="shared" si="29"/>
        <v/>
      </c>
      <c r="AL59" s="63" t="str">
        <f t="shared" si="29"/>
        <v/>
      </c>
      <c r="AM59" s="63" t="str">
        <f t="shared" si="29"/>
        <v/>
      </c>
      <c r="AN59" s="63" t="str">
        <f t="shared" si="29"/>
        <v/>
      </c>
      <c r="AO59" s="63" t="str">
        <f t="shared" si="29"/>
        <v/>
      </c>
      <c r="AP59" s="63" t="str">
        <f t="shared" si="29"/>
        <v/>
      </c>
      <c r="AQ59" s="64" t="str">
        <f t="shared" si="25"/>
        <v/>
      </c>
      <c r="AR59" s="2"/>
      <c r="AS59" s="58"/>
      <c r="AU59" s="2"/>
    </row>
    <row r="60" spans="1:48" s="3" customFormat="1" ht="16.5" customHeight="1" outlineLevel="1">
      <c r="A60" s="2"/>
      <c r="B60" s="24" t="s">
        <v>144</v>
      </c>
      <c r="C60" s="25" t="s">
        <v>145</v>
      </c>
      <c r="D60" s="15" t="s">
        <v>27</v>
      </c>
      <c r="E60" s="15" t="s">
        <v>24</v>
      </c>
      <c r="F60" s="26">
        <v>1</v>
      </c>
      <c r="G60" s="26">
        <v>36</v>
      </c>
      <c r="H60" s="63" t="str">
        <f t="shared" si="27"/>
        <v/>
      </c>
      <c r="I60" s="63" t="str">
        <f t="shared" si="27"/>
        <v/>
      </c>
      <c r="J60" s="63" t="str">
        <f t="shared" si="27"/>
        <v/>
      </c>
      <c r="K60" s="63" t="str">
        <f t="shared" si="27"/>
        <v/>
      </c>
      <c r="L60" s="63" t="str">
        <f t="shared" si="27"/>
        <v/>
      </c>
      <c r="M60" s="63" t="str">
        <f t="shared" si="27"/>
        <v/>
      </c>
      <c r="N60" s="63" t="str">
        <f t="shared" si="27"/>
        <v/>
      </c>
      <c r="O60" s="63" t="str">
        <f t="shared" si="27"/>
        <v/>
      </c>
      <c r="P60" s="63" t="str">
        <f t="shared" si="27"/>
        <v/>
      </c>
      <c r="Q60" s="63" t="str">
        <f t="shared" si="27"/>
        <v/>
      </c>
      <c r="R60" s="63" t="str">
        <f t="shared" si="28"/>
        <v/>
      </c>
      <c r="S60" s="64" t="str">
        <f t="shared" si="28"/>
        <v/>
      </c>
      <c r="T60" s="65" t="str">
        <f t="shared" si="28"/>
        <v/>
      </c>
      <c r="U60" s="63" t="str">
        <f t="shared" si="28"/>
        <v/>
      </c>
      <c r="V60" s="63" t="str">
        <f t="shared" si="28"/>
        <v/>
      </c>
      <c r="W60" s="63" t="str">
        <f t="shared" si="28"/>
        <v/>
      </c>
      <c r="X60" s="63" t="str">
        <f t="shared" si="28"/>
        <v/>
      </c>
      <c r="Y60" s="63" t="str">
        <f t="shared" si="28"/>
        <v/>
      </c>
      <c r="Z60" s="63" t="str">
        <f t="shared" si="28"/>
        <v/>
      </c>
      <c r="AA60" s="63" t="str">
        <f t="shared" si="28"/>
        <v/>
      </c>
      <c r="AB60" s="63" t="str">
        <f t="shared" si="29"/>
        <v/>
      </c>
      <c r="AC60" s="63" t="str">
        <f t="shared" si="29"/>
        <v/>
      </c>
      <c r="AD60" s="63" t="str">
        <f t="shared" si="29"/>
        <v/>
      </c>
      <c r="AE60" s="64" t="str">
        <f t="shared" si="29"/>
        <v/>
      </c>
      <c r="AF60" s="65" t="str">
        <f t="shared" si="29"/>
        <v/>
      </c>
      <c r="AG60" s="63" t="str">
        <f t="shared" si="29"/>
        <v/>
      </c>
      <c r="AH60" s="63" t="str">
        <f t="shared" si="29"/>
        <v/>
      </c>
      <c r="AI60" s="63" t="str">
        <f t="shared" si="29"/>
        <v/>
      </c>
      <c r="AJ60" s="63" t="str">
        <f t="shared" si="29"/>
        <v/>
      </c>
      <c r="AK60" s="63" t="str">
        <f t="shared" si="29"/>
        <v/>
      </c>
      <c r="AL60" s="63" t="str">
        <f t="shared" si="29"/>
        <v/>
      </c>
      <c r="AM60" s="63" t="str">
        <f t="shared" si="29"/>
        <v/>
      </c>
      <c r="AN60" s="63" t="str">
        <f t="shared" si="29"/>
        <v/>
      </c>
      <c r="AO60" s="63" t="str">
        <f t="shared" si="29"/>
        <v/>
      </c>
      <c r="AP60" s="63" t="str">
        <f t="shared" si="29"/>
        <v/>
      </c>
      <c r="AQ60" s="64" t="str">
        <f t="shared" si="25"/>
        <v/>
      </c>
      <c r="AR60" s="2"/>
      <c r="AS60" s="58"/>
      <c r="AU60" s="2"/>
    </row>
    <row r="61" spans="1:48" s="3" customFormat="1" ht="16.5" customHeight="1" outlineLevel="2">
      <c r="A61" s="2"/>
      <c r="B61" s="51" t="s">
        <v>146</v>
      </c>
      <c r="C61" s="52" t="s">
        <v>147</v>
      </c>
      <c r="D61" s="44" t="s">
        <v>37</v>
      </c>
      <c r="E61" s="44" t="s">
        <v>24</v>
      </c>
      <c r="F61" s="53">
        <v>12</v>
      </c>
      <c r="G61" s="53">
        <f>F61</f>
        <v>12</v>
      </c>
      <c r="H61" s="66" t="str">
        <f t="shared" ref="H61:R70" si="30">IF(AND($D61=$D$76,$F61=H$4),2,IF(AND($D61=$D$75,$F61=H$4),1,""))</f>
        <v/>
      </c>
      <c r="I61" s="66" t="str">
        <f t="shared" si="30"/>
        <v/>
      </c>
      <c r="J61" s="66" t="str">
        <f t="shared" si="30"/>
        <v/>
      </c>
      <c r="K61" s="66" t="str">
        <f t="shared" si="30"/>
        <v/>
      </c>
      <c r="L61" s="66" t="str">
        <f t="shared" si="30"/>
        <v/>
      </c>
      <c r="M61" s="66" t="str">
        <f t="shared" si="30"/>
        <v/>
      </c>
      <c r="N61" s="66" t="str">
        <f t="shared" si="30"/>
        <v/>
      </c>
      <c r="O61" s="66" t="str">
        <f t="shared" si="30"/>
        <v/>
      </c>
      <c r="P61" s="66" t="str">
        <f t="shared" si="30"/>
        <v/>
      </c>
      <c r="Q61" s="66" t="str">
        <f t="shared" si="30"/>
        <v/>
      </c>
      <c r="R61" s="66" t="str">
        <f t="shared" si="30"/>
        <v/>
      </c>
      <c r="S61" s="67"/>
      <c r="T61" s="68" t="str">
        <f t="shared" ref="T61:T70" si="31">IF(AND($D61=$D$76,$F61=T$4),2,IF(AND($D61=$D$75,$F61=T$4),1,""))</f>
        <v/>
      </c>
      <c r="U61" s="66">
        <f>IF(AND($D61=$D$76,$F61=S$4),2,IF(AND($D61=$D$75,$F61=S$4),1,""))</f>
        <v>2</v>
      </c>
      <c r="V61" s="66" t="str">
        <f t="shared" ref="V61:AE70" si="32">IF(AND($D61=$D$76,$F61=V$4),2,IF(AND($D61=$D$75,$F61=V$4),1,""))</f>
        <v/>
      </c>
      <c r="W61" s="66" t="str">
        <f t="shared" si="32"/>
        <v/>
      </c>
      <c r="X61" s="66" t="str">
        <f t="shared" si="32"/>
        <v/>
      </c>
      <c r="Y61" s="66" t="str">
        <f t="shared" si="32"/>
        <v/>
      </c>
      <c r="Z61" s="66" t="str">
        <f t="shared" si="32"/>
        <v/>
      </c>
      <c r="AA61" s="66" t="str">
        <f t="shared" si="32"/>
        <v/>
      </c>
      <c r="AB61" s="66" t="str">
        <f t="shared" si="32"/>
        <v/>
      </c>
      <c r="AC61" s="66" t="str">
        <f t="shared" si="32"/>
        <v/>
      </c>
      <c r="AD61" s="66" t="str">
        <f t="shared" si="32"/>
        <v/>
      </c>
      <c r="AE61" s="67" t="str">
        <f t="shared" si="32"/>
        <v/>
      </c>
      <c r="AF61" s="68" t="str">
        <f t="shared" ref="AF61:AP70" si="33">IF(AND($D61=$D$76,$F61=AF$4),2,IF(AND($D61=$D$75,$F61=AF$4),1,""))</f>
        <v/>
      </c>
      <c r="AG61" s="66" t="str">
        <f t="shared" si="33"/>
        <v/>
      </c>
      <c r="AH61" s="66" t="str">
        <f t="shared" si="33"/>
        <v/>
      </c>
      <c r="AI61" s="66" t="str">
        <f t="shared" si="33"/>
        <v/>
      </c>
      <c r="AJ61" s="66" t="str">
        <f t="shared" si="33"/>
        <v/>
      </c>
      <c r="AK61" s="66" t="str">
        <f t="shared" si="33"/>
        <v/>
      </c>
      <c r="AL61" s="66" t="str">
        <f t="shared" si="33"/>
        <v/>
      </c>
      <c r="AM61" s="66" t="str">
        <f t="shared" si="33"/>
        <v/>
      </c>
      <c r="AN61" s="66" t="str">
        <f t="shared" si="33"/>
        <v/>
      </c>
      <c r="AO61" s="66" t="str">
        <f t="shared" si="33"/>
        <v/>
      </c>
      <c r="AP61" s="66" t="str">
        <f t="shared" si="33"/>
        <v/>
      </c>
      <c r="AQ61" s="67" t="str">
        <f t="shared" si="25"/>
        <v/>
      </c>
      <c r="AR61" s="61"/>
      <c r="AS61" s="42" t="s">
        <v>148</v>
      </c>
      <c r="AT61" s="3" t="s">
        <v>42</v>
      </c>
      <c r="AU61" s="2"/>
      <c r="AV61" s="3" t="s">
        <v>39</v>
      </c>
    </row>
    <row r="62" spans="1:48" s="3" customFormat="1" ht="16.5" customHeight="1" outlineLevel="2">
      <c r="A62" s="2"/>
      <c r="B62" s="54" t="s">
        <v>149</v>
      </c>
      <c r="C62" s="55" t="s">
        <v>150</v>
      </c>
      <c r="D62" s="45" t="s">
        <v>37</v>
      </c>
      <c r="E62" s="45" t="s">
        <v>24</v>
      </c>
      <c r="F62" s="56">
        <v>24</v>
      </c>
      <c r="G62" s="56">
        <f t="shared" ref="G62:G64" si="34">F62</f>
        <v>24</v>
      </c>
      <c r="H62" s="66" t="str">
        <f t="shared" si="30"/>
        <v/>
      </c>
      <c r="I62" s="66" t="str">
        <f t="shared" si="30"/>
        <v/>
      </c>
      <c r="J62" s="66" t="str">
        <f t="shared" si="30"/>
        <v/>
      </c>
      <c r="K62" s="66" t="str">
        <f t="shared" si="30"/>
        <v/>
      </c>
      <c r="L62" s="66" t="str">
        <f t="shared" si="30"/>
        <v/>
      </c>
      <c r="M62" s="66" t="str">
        <f t="shared" si="30"/>
        <v/>
      </c>
      <c r="N62" s="66" t="str">
        <f t="shared" si="30"/>
        <v/>
      </c>
      <c r="O62" s="66" t="str">
        <f t="shared" si="30"/>
        <v/>
      </c>
      <c r="P62" s="66" t="str">
        <f t="shared" si="30"/>
        <v/>
      </c>
      <c r="Q62" s="66" t="str">
        <f t="shared" si="30"/>
        <v/>
      </c>
      <c r="R62" s="66" t="str">
        <f t="shared" si="30"/>
        <v/>
      </c>
      <c r="S62" s="67" t="str">
        <f t="shared" ref="S62:S70" si="35">IF(AND($D62=$D$76,$F62=S$4),2,IF(AND($D62=$D$75,$F62=S$4),1,""))</f>
        <v/>
      </c>
      <c r="T62" s="68" t="str">
        <f t="shared" si="31"/>
        <v/>
      </c>
      <c r="U62" s="66" t="str">
        <f t="shared" ref="U62:U70" si="36">IF(AND($D62=$D$76,$F62=U$4),2,IF(AND($D62=$D$75,$F62=U$4),1,""))</f>
        <v/>
      </c>
      <c r="V62" s="66" t="str">
        <f t="shared" si="32"/>
        <v/>
      </c>
      <c r="W62" s="66" t="str">
        <f t="shared" si="32"/>
        <v/>
      </c>
      <c r="X62" s="66" t="str">
        <f t="shared" si="32"/>
        <v/>
      </c>
      <c r="Y62" s="66" t="str">
        <f t="shared" si="32"/>
        <v/>
      </c>
      <c r="Z62" s="66" t="str">
        <f t="shared" si="32"/>
        <v/>
      </c>
      <c r="AA62" s="66" t="str">
        <f t="shared" si="32"/>
        <v/>
      </c>
      <c r="AB62" s="66" t="str">
        <f t="shared" si="32"/>
        <v/>
      </c>
      <c r="AC62" s="66" t="str">
        <f t="shared" si="32"/>
        <v/>
      </c>
      <c r="AD62" s="66" t="str">
        <f t="shared" si="32"/>
        <v/>
      </c>
      <c r="AE62" s="67">
        <f t="shared" si="32"/>
        <v>2</v>
      </c>
      <c r="AF62" s="68" t="str">
        <f t="shared" si="33"/>
        <v/>
      </c>
      <c r="AG62" s="66" t="str">
        <f t="shared" si="33"/>
        <v/>
      </c>
      <c r="AH62" s="66" t="str">
        <f t="shared" si="33"/>
        <v/>
      </c>
      <c r="AI62" s="66" t="str">
        <f t="shared" si="33"/>
        <v/>
      </c>
      <c r="AJ62" s="66" t="str">
        <f t="shared" si="33"/>
        <v/>
      </c>
      <c r="AK62" s="66" t="str">
        <f t="shared" si="33"/>
        <v/>
      </c>
      <c r="AL62" s="66" t="str">
        <f t="shared" si="33"/>
        <v/>
      </c>
      <c r="AM62" s="66" t="str">
        <f t="shared" si="33"/>
        <v/>
      </c>
      <c r="AN62" s="66" t="str">
        <f t="shared" si="33"/>
        <v/>
      </c>
      <c r="AO62" s="66" t="str">
        <f t="shared" si="33"/>
        <v/>
      </c>
      <c r="AP62" s="66" t="str">
        <f t="shared" si="33"/>
        <v/>
      </c>
      <c r="AQ62" s="67" t="str">
        <f t="shared" si="25"/>
        <v/>
      </c>
      <c r="AR62" s="60"/>
      <c r="AS62" s="42" t="s">
        <v>148</v>
      </c>
      <c r="AT62" s="3" t="s">
        <v>42</v>
      </c>
      <c r="AU62" s="2"/>
    </row>
    <row r="63" spans="1:48" s="3" customFormat="1" ht="16.5" customHeight="1" outlineLevel="2">
      <c r="A63" s="2"/>
      <c r="B63" s="54" t="s">
        <v>151</v>
      </c>
      <c r="C63" s="55" t="s">
        <v>152</v>
      </c>
      <c r="D63" s="45" t="s">
        <v>37</v>
      </c>
      <c r="E63" s="45" t="s">
        <v>24</v>
      </c>
      <c r="F63" s="56">
        <v>36</v>
      </c>
      <c r="G63" s="56">
        <f t="shared" si="34"/>
        <v>36</v>
      </c>
      <c r="H63" s="66" t="str">
        <f t="shared" si="30"/>
        <v/>
      </c>
      <c r="I63" s="66" t="str">
        <f t="shared" si="30"/>
        <v/>
      </c>
      <c r="J63" s="66" t="str">
        <f t="shared" si="30"/>
        <v/>
      </c>
      <c r="K63" s="66" t="str">
        <f t="shared" si="30"/>
        <v/>
      </c>
      <c r="L63" s="66" t="str">
        <f t="shared" si="30"/>
        <v/>
      </c>
      <c r="M63" s="66" t="str">
        <f t="shared" si="30"/>
        <v/>
      </c>
      <c r="N63" s="66" t="str">
        <f t="shared" si="30"/>
        <v/>
      </c>
      <c r="O63" s="66" t="str">
        <f t="shared" si="30"/>
        <v/>
      </c>
      <c r="P63" s="66" t="str">
        <f t="shared" si="30"/>
        <v/>
      </c>
      <c r="Q63" s="66" t="str">
        <f t="shared" si="30"/>
        <v/>
      </c>
      <c r="R63" s="66" t="str">
        <f t="shared" si="30"/>
        <v/>
      </c>
      <c r="S63" s="67" t="str">
        <f t="shared" si="35"/>
        <v/>
      </c>
      <c r="T63" s="68" t="str">
        <f t="shared" si="31"/>
        <v/>
      </c>
      <c r="U63" s="66" t="str">
        <f t="shared" si="36"/>
        <v/>
      </c>
      <c r="V63" s="66" t="str">
        <f t="shared" si="32"/>
        <v/>
      </c>
      <c r="W63" s="66" t="str">
        <f t="shared" si="32"/>
        <v/>
      </c>
      <c r="X63" s="66" t="str">
        <f t="shared" si="32"/>
        <v/>
      </c>
      <c r="Y63" s="66" t="str">
        <f t="shared" si="32"/>
        <v/>
      </c>
      <c r="Z63" s="66" t="str">
        <f t="shared" si="32"/>
        <v/>
      </c>
      <c r="AA63" s="66" t="str">
        <f t="shared" si="32"/>
        <v/>
      </c>
      <c r="AB63" s="66" t="str">
        <f t="shared" si="32"/>
        <v/>
      </c>
      <c r="AC63" s="66" t="str">
        <f t="shared" si="32"/>
        <v/>
      </c>
      <c r="AD63" s="66" t="str">
        <f t="shared" si="32"/>
        <v/>
      </c>
      <c r="AE63" s="67" t="str">
        <f t="shared" si="32"/>
        <v/>
      </c>
      <c r="AF63" s="68" t="str">
        <f t="shared" si="33"/>
        <v/>
      </c>
      <c r="AG63" s="66" t="str">
        <f t="shared" si="33"/>
        <v/>
      </c>
      <c r="AH63" s="66" t="str">
        <f t="shared" si="33"/>
        <v/>
      </c>
      <c r="AI63" s="66" t="str">
        <f t="shared" si="33"/>
        <v/>
      </c>
      <c r="AJ63" s="66" t="str">
        <f t="shared" si="33"/>
        <v/>
      </c>
      <c r="AK63" s="66" t="str">
        <f t="shared" si="33"/>
        <v/>
      </c>
      <c r="AL63" s="66" t="str">
        <f t="shared" si="33"/>
        <v/>
      </c>
      <c r="AM63" s="66" t="str">
        <f t="shared" si="33"/>
        <v/>
      </c>
      <c r="AN63" s="66" t="str">
        <f t="shared" si="33"/>
        <v/>
      </c>
      <c r="AO63" s="66" t="str">
        <f t="shared" si="33"/>
        <v/>
      </c>
      <c r="AP63" s="66" t="str">
        <f t="shared" si="33"/>
        <v/>
      </c>
      <c r="AQ63" s="67">
        <f t="shared" si="25"/>
        <v>2</v>
      </c>
      <c r="AR63" s="60"/>
      <c r="AS63" s="42" t="s">
        <v>148</v>
      </c>
      <c r="AT63" s="3" t="s">
        <v>42</v>
      </c>
      <c r="AU63" s="2"/>
    </row>
    <row r="64" spans="1:48" s="3" customFormat="1" ht="16.5" customHeight="1" outlineLevel="2">
      <c r="A64" s="2"/>
      <c r="B64" s="46" t="s">
        <v>153</v>
      </c>
      <c r="C64" s="47" t="s">
        <v>154</v>
      </c>
      <c r="D64" s="48" t="s">
        <v>37</v>
      </c>
      <c r="E64" s="48" t="s">
        <v>24</v>
      </c>
      <c r="F64" s="41">
        <v>36</v>
      </c>
      <c r="G64" s="41">
        <f t="shared" si="34"/>
        <v>36</v>
      </c>
      <c r="H64" s="66" t="str">
        <f t="shared" si="30"/>
        <v/>
      </c>
      <c r="I64" s="66" t="str">
        <f t="shared" si="30"/>
        <v/>
      </c>
      <c r="J64" s="66" t="str">
        <f t="shared" si="30"/>
        <v/>
      </c>
      <c r="K64" s="66" t="str">
        <f t="shared" si="30"/>
        <v/>
      </c>
      <c r="L64" s="66" t="str">
        <f t="shared" si="30"/>
        <v/>
      </c>
      <c r="M64" s="66" t="str">
        <f t="shared" si="30"/>
        <v/>
      </c>
      <c r="N64" s="66" t="str">
        <f t="shared" si="30"/>
        <v/>
      </c>
      <c r="O64" s="66" t="str">
        <f t="shared" si="30"/>
        <v/>
      </c>
      <c r="P64" s="66" t="str">
        <f t="shared" si="30"/>
        <v/>
      </c>
      <c r="Q64" s="66" t="str">
        <f t="shared" si="30"/>
        <v/>
      </c>
      <c r="R64" s="66" t="str">
        <f t="shared" si="30"/>
        <v/>
      </c>
      <c r="S64" s="67" t="str">
        <f t="shared" si="35"/>
        <v/>
      </c>
      <c r="T64" s="68" t="str">
        <f t="shared" si="31"/>
        <v/>
      </c>
      <c r="U64" s="66" t="str">
        <f t="shared" si="36"/>
        <v/>
      </c>
      <c r="V64" s="66" t="str">
        <f t="shared" si="32"/>
        <v/>
      </c>
      <c r="W64" s="66" t="str">
        <f t="shared" si="32"/>
        <v/>
      </c>
      <c r="X64" s="66" t="str">
        <f t="shared" si="32"/>
        <v/>
      </c>
      <c r="Y64" s="66" t="str">
        <f t="shared" si="32"/>
        <v/>
      </c>
      <c r="Z64" s="66" t="str">
        <f t="shared" si="32"/>
        <v/>
      </c>
      <c r="AA64" s="66" t="str">
        <f t="shared" si="32"/>
        <v/>
      </c>
      <c r="AB64" s="66" t="str">
        <f t="shared" si="32"/>
        <v/>
      </c>
      <c r="AC64" s="66" t="str">
        <f t="shared" si="32"/>
        <v/>
      </c>
      <c r="AD64" s="66" t="str">
        <f t="shared" si="32"/>
        <v/>
      </c>
      <c r="AE64" s="67" t="str">
        <f t="shared" si="32"/>
        <v/>
      </c>
      <c r="AF64" s="68" t="str">
        <f t="shared" si="33"/>
        <v/>
      </c>
      <c r="AG64" s="66" t="str">
        <f t="shared" si="33"/>
        <v/>
      </c>
      <c r="AH64" s="66" t="str">
        <f t="shared" si="33"/>
        <v/>
      </c>
      <c r="AI64" s="66" t="str">
        <f t="shared" si="33"/>
        <v/>
      </c>
      <c r="AJ64" s="66" t="str">
        <f t="shared" si="33"/>
        <v/>
      </c>
      <c r="AK64" s="66" t="str">
        <f t="shared" si="33"/>
        <v/>
      </c>
      <c r="AL64" s="66" t="str">
        <f t="shared" si="33"/>
        <v/>
      </c>
      <c r="AM64" s="66" t="str">
        <f t="shared" si="33"/>
        <v/>
      </c>
      <c r="AN64" s="66" t="str">
        <f t="shared" si="33"/>
        <v/>
      </c>
      <c r="AO64" s="66" t="str">
        <f t="shared" si="33"/>
        <v/>
      </c>
      <c r="AP64" s="66" t="str">
        <f t="shared" si="33"/>
        <v/>
      </c>
      <c r="AQ64" s="67">
        <f t="shared" si="25"/>
        <v>2</v>
      </c>
      <c r="AR64" s="62"/>
      <c r="AS64" s="42" t="s">
        <v>148</v>
      </c>
      <c r="AT64" s="3" t="s">
        <v>42</v>
      </c>
      <c r="AU64" s="2"/>
    </row>
    <row r="65" spans="1:48" s="3" customFormat="1" ht="16.5" customHeight="1">
      <c r="A65" s="2"/>
      <c r="B65" s="8" t="s">
        <v>155</v>
      </c>
      <c r="C65" s="9" t="s">
        <v>156</v>
      </c>
      <c r="D65" s="10" t="s">
        <v>23</v>
      </c>
      <c r="E65" s="10" t="s">
        <v>24</v>
      </c>
      <c r="F65" s="11">
        <f>MIN(F66:F70)</f>
        <v>1</v>
      </c>
      <c r="G65" s="11">
        <f>MAX(G66:G70)</f>
        <v>36</v>
      </c>
      <c r="H65" s="63" t="str">
        <f t="shared" si="30"/>
        <v/>
      </c>
      <c r="I65" s="63" t="str">
        <f t="shared" si="30"/>
        <v/>
      </c>
      <c r="J65" s="63" t="str">
        <f t="shared" si="30"/>
        <v/>
      </c>
      <c r="K65" s="63" t="str">
        <f t="shared" si="30"/>
        <v/>
      </c>
      <c r="L65" s="63" t="str">
        <f t="shared" si="30"/>
        <v/>
      </c>
      <c r="M65" s="63" t="str">
        <f t="shared" si="30"/>
        <v/>
      </c>
      <c r="N65" s="63" t="str">
        <f t="shared" si="30"/>
        <v/>
      </c>
      <c r="O65" s="63" t="str">
        <f t="shared" si="30"/>
        <v/>
      </c>
      <c r="P65" s="63" t="str">
        <f t="shared" si="30"/>
        <v/>
      </c>
      <c r="Q65" s="63" t="str">
        <f t="shared" si="30"/>
        <v/>
      </c>
      <c r="R65" s="63" t="str">
        <f t="shared" si="30"/>
        <v/>
      </c>
      <c r="S65" s="64" t="str">
        <f t="shared" si="35"/>
        <v/>
      </c>
      <c r="T65" s="65" t="str">
        <f t="shared" si="31"/>
        <v/>
      </c>
      <c r="U65" s="63" t="str">
        <f t="shared" si="36"/>
        <v/>
      </c>
      <c r="V65" s="63" t="str">
        <f t="shared" si="32"/>
        <v/>
      </c>
      <c r="W65" s="63" t="str">
        <f t="shared" si="32"/>
        <v/>
      </c>
      <c r="X65" s="63" t="str">
        <f t="shared" si="32"/>
        <v/>
      </c>
      <c r="Y65" s="63" t="str">
        <f t="shared" si="32"/>
        <v/>
      </c>
      <c r="Z65" s="63" t="str">
        <f t="shared" si="32"/>
        <v/>
      </c>
      <c r="AA65" s="63" t="str">
        <f t="shared" si="32"/>
        <v/>
      </c>
      <c r="AB65" s="63" t="str">
        <f t="shared" si="32"/>
        <v/>
      </c>
      <c r="AC65" s="63" t="str">
        <f t="shared" si="32"/>
        <v/>
      </c>
      <c r="AD65" s="63" t="str">
        <f t="shared" si="32"/>
        <v/>
      </c>
      <c r="AE65" s="64" t="str">
        <f t="shared" si="32"/>
        <v/>
      </c>
      <c r="AF65" s="65" t="str">
        <f t="shared" si="33"/>
        <v/>
      </c>
      <c r="AG65" s="63" t="str">
        <f t="shared" si="33"/>
        <v/>
      </c>
      <c r="AH65" s="63" t="str">
        <f t="shared" si="33"/>
        <v/>
      </c>
      <c r="AI65" s="63" t="str">
        <f t="shared" si="33"/>
        <v/>
      </c>
      <c r="AJ65" s="63" t="str">
        <f t="shared" si="33"/>
        <v/>
      </c>
      <c r="AK65" s="63" t="str">
        <f t="shared" si="33"/>
        <v/>
      </c>
      <c r="AL65" s="63" t="str">
        <f t="shared" si="33"/>
        <v/>
      </c>
      <c r="AM65" s="63" t="str">
        <f t="shared" si="33"/>
        <v/>
      </c>
      <c r="AN65" s="63" t="str">
        <f t="shared" si="33"/>
        <v/>
      </c>
      <c r="AO65" s="63" t="str">
        <f t="shared" si="33"/>
        <v/>
      </c>
      <c r="AP65" s="63" t="str">
        <f t="shared" si="33"/>
        <v/>
      </c>
      <c r="AQ65" s="64" t="str">
        <f t="shared" si="25"/>
        <v/>
      </c>
      <c r="AR65" s="2"/>
      <c r="AS65" s="58"/>
      <c r="AU65" s="2"/>
    </row>
    <row r="66" spans="1:48" s="3" customFormat="1" ht="16.5" customHeight="1" outlineLevel="1">
      <c r="A66" s="2"/>
      <c r="B66" s="24" t="s">
        <v>157</v>
      </c>
      <c r="C66" s="25" t="s">
        <v>158</v>
      </c>
      <c r="D66" s="15" t="s">
        <v>27</v>
      </c>
      <c r="E66" s="15" t="s">
        <v>24</v>
      </c>
      <c r="F66" s="26">
        <v>1</v>
      </c>
      <c r="G66" s="26">
        <v>36</v>
      </c>
      <c r="H66" s="63" t="str">
        <f t="shared" si="30"/>
        <v/>
      </c>
      <c r="I66" s="63" t="str">
        <f t="shared" si="30"/>
        <v/>
      </c>
      <c r="J66" s="63" t="str">
        <f t="shared" si="30"/>
        <v/>
      </c>
      <c r="K66" s="63" t="str">
        <f t="shared" si="30"/>
        <v/>
      </c>
      <c r="L66" s="63" t="str">
        <f t="shared" si="30"/>
        <v/>
      </c>
      <c r="M66" s="63" t="str">
        <f t="shared" si="30"/>
        <v/>
      </c>
      <c r="N66" s="63" t="str">
        <f t="shared" si="30"/>
        <v/>
      </c>
      <c r="O66" s="63" t="str">
        <f t="shared" si="30"/>
        <v/>
      </c>
      <c r="P66" s="63" t="str">
        <f t="shared" si="30"/>
        <v/>
      </c>
      <c r="Q66" s="63" t="str">
        <f t="shared" si="30"/>
        <v/>
      </c>
      <c r="R66" s="63" t="str">
        <f t="shared" si="30"/>
        <v/>
      </c>
      <c r="S66" s="64" t="str">
        <f t="shared" si="35"/>
        <v/>
      </c>
      <c r="T66" s="65" t="str">
        <f t="shared" si="31"/>
        <v/>
      </c>
      <c r="U66" s="63" t="str">
        <f t="shared" si="36"/>
        <v/>
      </c>
      <c r="V66" s="63" t="str">
        <f t="shared" si="32"/>
        <v/>
      </c>
      <c r="W66" s="63" t="str">
        <f t="shared" si="32"/>
        <v/>
      </c>
      <c r="X66" s="63" t="str">
        <f t="shared" si="32"/>
        <v/>
      </c>
      <c r="Y66" s="63" t="str">
        <f t="shared" si="32"/>
        <v/>
      </c>
      <c r="Z66" s="63" t="str">
        <f t="shared" si="32"/>
        <v/>
      </c>
      <c r="AA66" s="63" t="str">
        <f t="shared" si="32"/>
        <v/>
      </c>
      <c r="AB66" s="63" t="str">
        <f t="shared" si="32"/>
        <v/>
      </c>
      <c r="AC66" s="63" t="str">
        <f t="shared" si="32"/>
        <v/>
      </c>
      <c r="AD66" s="63" t="str">
        <f t="shared" si="32"/>
        <v/>
      </c>
      <c r="AE66" s="64" t="str">
        <f t="shared" si="32"/>
        <v/>
      </c>
      <c r="AF66" s="65" t="str">
        <f t="shared" si="33"/>
        <v/>
      </c>
      <c r="AG66" s="63" t="str">
        <f t="shared" si="33"/>
        <v/>
      </c>
      <c r="AH66" s="63" t="str">
        <f t="shared" si="33"/>
        <v/>
      </c>
      <c r="AI66" s="63" t="str">
        <f t="shared" si="33"/>
        <v/>
      </c>
      <c r="AJ66" s="63" t="str">
        <f t="shared" si="33"/>
        <v/>
      </c>
      <c r="AK66" s="63" t="str">
        <f t="shared" si="33"/>
        <v/>
      </c>
      <c r="AL66" s="63" t="str">
        <f t="shared" si="33"/>
        <v/>
      </c>
      <c r="AM66" s="63" t="str">
        <f t="shared" si="33"/>
        <v/>
      </c>
      <c r="AN66" s="63" t="str">
        <f t="shared" si="33"/>
        <v/>
      </c>
      <c r="AO66" s="63" t="str">
        <f t="shared" si="33"/>
        <v/>
      </c>
      <c r="AP66" s="63" t="str">
        <f t="shared" si="33"/>
        <v/>
      </c>
      <c r="AQ66" s="64" t="str">
        <f t="shared" si="25"/>
        <v/>
      </c>
      <c r="AR66" s="2"/>
      <c r="AS66" s="58"/>
      <c r="AU66" s="2"/>
    </row>
    <row r="67" spans="1:48" s="3" customFormat="1" ht="16.5" customHeight="1" outlineLevel="1">
      <c r="A67" s="2"/>
      <c r="B67" s="24" t="s">
        <v>159</v>
      </c>
      <c r="C67" s="25" t="s">
        <v>160</v>
      </c>
      <c r="D67" s="15" t="s">
        <v>27</v>
      </c>
      <c r="E67" s="15" t="s">
        <v>24</v>
      </c>
      <c r="F67" s="26">
        <v>1</v>
      </c>
      <c r="G67" s="26">
        <v>36</v>
      </c>
      <c r="H67" s="63" t="str">
        <f t="shared" si="30"/>
        <v/>
      </c>
      <c r="I67" s="63" t="str">
        <f t="shared" si="30"/>
        <v/>
      </c>
      <c r="J67" s="63" t="str">
        <f t="shared" si="30"/>
        <v/>
      </c>
      <c r="K67" s="63" t="str">
        <f t="shared" si="30"/>
        <v/>
      </c>
      <c r="L67" s="63" t="str">
        <f t="shared" si="30"/>
        <v/>
      </c>
      <c r="M67" s="63" t="str">
        <f t="shared" si="30"/>
        <v/>
      </c>
      <c r="N67" s="63" t="str">
        <f t="shared" si="30"/>
        <v/>
      </c>
      <c r="O67" s="63" t="str">
        <f t="shared" si="30"/>
        <v/>
      </c>
      <c r="P67" s="63" t="str">
        <f t="shared" si="30"/>
        <v/>
      </c>
      <c r="Q67" s="63" t="str">
        <f t="shared" si="30"/>
        <v/>
      </c>
      <c r="R67" s="63" t="str">
        <f t="shared" si="30"/>
        <v/>
      </c>
      <c r="S67" s="64" t="str">
        <f t="shared" si="35"/>
        <v/>
      </c>
      <c r="T67" s="65" t="str">
        <f t="shared" si="31"/>
        <v/>
      </c>
      <c r="U67" s="63" t="str">
        <f t="shared" si="36"/>
        <v/>
      </c>
      <c r="V67" s="63" t="str">
        <f t="shared" si="32"/>
        <v/>
      </c>
      <c r="W67" s="63" t="str">
        <f t="shared" si="32"/>
        <v/>
      </c>
      <c r="X67" s="63" t="str">
        <f t="shared" si="32"/>
        <v/>
      </c>
      <c r="Y67" s="63" t="str">
        <f t="shared" si="32"/>
        <v/>
      </c>
      <c r="Z67" s="63" t="str">
        <f t="shared" si="32"/>
        <v/>
      </c>
      <c r="AA67" s="63" t="str">
        <f t="shared" si="32"/>
        <v/>
      </c>
      <c r="AB67" s="63" t="str">
        <f t="shared" si="32"/>
        <v/>
      </c>
      <c r="AC67" s="63" t="str">
        <f t="shared" si="32"/>
        <v/>
      </c>
      <c r="AD67" s="63" t="str">
        <f t="shared" si="32"/>
        <v/>
      </c>
      <c r="AE67" s="64" t="str">
        <f t="shared" si="32"/>
        <v/>
      </c>
      <c r="AF67" s="65" t="str">
        <f t="shared" si="33"/>
        <v/>
      </c>
      <c r="AG67" s="63" t="str">
        <f t="shared" si="33"/>
        <v/>
      </c>
      <c r="AH67" s="63" t="str">
        <f t="shared" si="33"/>
        <v/>
      </c>
      <c r="AI67" s="63" t="str">
        <f t="shared" si="33"/>
        <v/>
      </c>
      <c r="AJ67" s="63" t="str">
        <f t="shared" si="33"/>
        <v/>
      </c>
      <c r="AK67" s="63" t="str">
        <f t="shared" si="33"/>
        <v/>
      </c>
      <c r="AL67" s="63" t="str">
        <f t="shared" si="33"/>
        <v/>
      </c>
      <c r="AM67" s="63" t="str">
        <f t="shared" si="33"/>
        <v/>
      </c>
      <c r="AN67" s="63" t="str">
        <f t="shared" si="33"/>
        <v/>
      </c>
      <c r="AO67" s="63" t="str">
        <f t="shared" si="33"/>
        <v/>
      </c>
      <c r="AP67" s="63" t="str">
        <f t="shared" si="33"/>
        <v/>
      </c>
      <c r="AQ67" s="64" t="str">
        <f t="shared" si="25"/>
        <v/>
      </c>
      <c r="AR67" s="2"/>
      <c r="AS67" s="58"/>
      <c r="AU67" s="2"/>
    </row>
    <row r="68" spans="1:48" s="3" customFormat="1" ht="16.5" customHeight="1" outlineLevel="1">
      <c r="A68" s="2"/>
      <c r="B68" s="24" t="s">
        <v>161</v>
      </c>
      <c r="C68" s="14" t="s">
        <v>162</v>
      </c>
      <c r="D68" s="15" t="s">
        <v>27</v>
      </c>
      <c r="E68" s="15" t="s">
        <v>24</v>
      </c>
      <c r="F68" s="1">
        <v>1</v>
      </c>
      <c r="G68" s="1">
        <v>36</v>
      </c>
      <c r="H68" s="63" t="str">
        <f t="shared" si="30"/>
        <v/>
      </c>
      <c r="I68" s="63" t="str">
        <f t="shared" si="30"/>
        <v/>
      </c>
      <c r="J68" s="63" t="str">
        <f t="shared" si="30"/>
        <v/>
      </c>
      <c r="K68" s="63" t="str">
        <f t="shared" si="30"/>
        <v/>
      </c>
      <c r="L68" s="63" t="str">
        <f t="shared" si="30"/>
        <v/>
      </c>
      <c r="M68" s="63" t="str">
        <f t="shared" si="30"/>
        <v/>
      </c>
      <c r="N68" s="63" t="str">
        <f t="shared" si="30"/>
        <v/>
      </c>
      <c r="O68" s="63" t="str">
        <f t="shared" si="30"/>
        <v/>
      </c>
      <c r="P68" s="63" t="str">
        <f t="shared" si="30"/>
        <v/>
      </c>
      <c r="Q68" s="63" t="str">
        <f t="shared" si="30"/>
        <v/>
      </c>
      <c r="R68" s="63" t="str">
        <f t="shared" si="30"/>
        <v/>
      </c>
      <c r="S68" s="64" t="str">
        <f t="shared" si="35"/>
        <v/>
      </c>
      <c r="T68" s="65" t="str">
        <f t="shared" si="31"/>
        <v/>
      </c>
      <c r="U68" s="63" t="str">
        <f t="shared" si="36"/>
        <v/>
      </c>
      <c r="V68" s="63" t="str">
        <f t="shared" si="32"/>
        <v/>
      </c>
      <c r="W68" s="63" t="str">
        <f t="shared" si="32"/>
        <v/>
      </c>
      <c r="X68" s="63" t="str">
        <f t="shared" si="32"/>
        <v/>
      </c>
      <c r="Y68" s="63" t="str">
        <f t="shared" si="32"/>
        <v/>
      </c>
      <c r="Z68" s="63" t="str">
        <f t="shared" si="32"/>
        <v/>
      </c>
      <c r="AA68" s="63" t="str">
        <f t="shared" si="32"/>
        <v/>
      </c>
      <c r="AB68" s="63" t="str">
        <f t="shared" si="32"/>
        <v/>
      </c>
      <c r="AC68" s="63" t="str">
        <f t="shared" si="32"/>
        <v/>
      </c>
      <c r="AD68" s="63" t="str">
        <f t="shared" si="32"/>
        <v/>
      </c>
      <c r="AE68" s="64" t="str">
        <f t="shared" si="32"/>
        <v/>
      </c>
      <c r="AF68" s="65" t="str">
        <f t="shared" si="33"/>
        <v/>
      </c>
      <c r="AG68" s="63" t="str">
        <f t="shared" si="33"/>
        <v/>
      </c>
      <c r="AH68" s="63" t="str">
        <f t="shared" si="33"/>
        <v/>
      </c>
      <c r="AI68" s="63" t="str">
        <f t="shared" si="33"/>
        <v/>
      </c>
      <c r="AJ68" s="63" t="str">
        <f t="shared" si="33"/>
        <v/>
      </c>
      <c r="AK68" s="63" t="str">
        <f t="shared" si="33"/>
        <v/>
      </c>
      <c r="AL68" s="63" t="str">
        <f t="shared" si="33"/>
        <v/>
      </c>
      <c r="AM68" s="63" t="str">
        <f t="shared" si="33"/>
        <v/>
      </c>
      <c r="AN68" s="63" t="str">
        <f t="shared" si="33"/>
        <v/>
      </c>
      <c r="AO68" s="63" t="str">
        <f t="shared" si="33"/>
        <v/>
      </c>
      <c r="AP68" s="63" t="str">
        <f t="shared" si="33"/>
        <v/>
      </c>
      <c r="AQ68" s="64" t="str">
        <f t="shared" si="25"/>
        <v/>
      </c>
      <c r="AR68" s="2"/>
      <c r="AS68" s="58"/>
      <c r="AU68" s="2"/>
    </row>
    <row r="69" spans="1:48" s="3" customFormat="1" ht="12.6" customHeight="1" outlineLevel="2">
      <c r="A69" s="2"/>
      <c r="B69" s="51" t="s">
        <v>163</v>
      </c>
      <c r="C69" s="43" t="s">
        <v>164</v>
      </c>
      <c r="D69" s="44" t="s">
        <v>37</v>
      </c>
      <c r="E69" s="44" t="s">
        <v>24</v>
      </c>
      <c r="F69" s="39">
        <v>4</v>
      </c>
      <c r="G69" s="39">
        <f>F69</f>
        <v>4</v>
      </c>
      <c r="H69" s="66" t="str">
        <f t="shared" si="30"/>
        <v/>
      </c>
      <c r="I69" s="66" t="str">
        <f t="shared" si="30"/>
        <v/>
      </c>
      <c r="J69" s="66" t="str">
        <f t="shared" si="30"/>
        <v/>
      </c>
      <c r="K69" s="66">
        <f t="shared" si="30"/>
        <v>2</v>
      </c>
      <c r="L69" s="66" t="str">
        <f t="shared" si="30"/>
        <v/>
      </c>
      <c r="M69" s="75" t="str">
        <f t="shared" si="30"/>
        <v/>
      </c>
      <c r="N69" s="66" t="str">
        <f t="shared" si="30"/>
        <v/>
      </c>
      <c r="O69" s="66" t="str">
        <f t="shared" si="30"/>
        <v/>
      </c>
      <c r="P69" s="66" t="str">
        <f t="shared" si="30"/>
        <v/>
      </c>
      <c r="Q69" s="66" t="str">
        <f t="shared" si="30"/>
        <v/>
      </c>
      <c r="R69" s="66" t="str">
        <f t="shared" si="30"/>
        <v/>
      </c>
      <c r="S69" s="67" t="str">
        <f t="shared" si="35"/>
        <v/>
      </c>
      <c r="T69" s="68" t="str">
        <f t="shared" si="31"/>
        <v/>
      </c>
      <c r="U69" s="66" t="str">
        <f t="shared" si="36"/>
        <v/>
      </c>
      <c r="V69" s="66" t="str">
        <f t="shared" si="32"/>
        <v/>
      </c>
      <c r="W69" s="66" t="str">
        <f t="shared" si="32"/>
        <v/>
      </c>
      <c r="X69" s="66" t="str">
        <f t="shared" si="32"/>
        <v/>
      </c>
      <c r="Y69" s="66" t="str">
        <f t="shared" si="32"/>
        <v/>
      </c>
      <c r="Z69" s="66" t="str">
        <f t="shared" si="32"/>
        <v/>
      </c>
      <c r="AA69" s="66" t="str">
        <f t="shared" si="32"/>
        <v/>
      </c>
      <c r="AB69" s="66" t="str">
        <f t="shared" si="32"/>
        <v/>
      </c>
      <c r="AC69" s="66" t="str">
        <f t="shared" si="32"/>
        <v/>
      </c>
      <c r="AD69" s="66" t="str">
        <f t="shared" si="32"/>
        <v/>
      </c>
      <c r="AE69" s="67" t="str">
        <f t="shared" si="32"/>
        <v/>
      </c>
      <c r="AF69" s="68" t="str">
        <f t="shared" si="33"/>
        <v/>
      </c>
      <c r="AG69" s="66" t="str">
        <f t="shared" si="33"/>
        <v/>
      </c>
      <c r="AH69" s="66" t="str">
        <f t="shared" si="33"/>
        <v/>
      </c>
      <c r="AI69" s="66" t="str">
        <f t="shared" si="33"/>
        <v/>
      </c>
      <c r="AJ69" s="66" t="str">
        <f t="shared" si="33"/>
        <v/>
      </c>
      <c r="AK69" s="66" t="str">
        <f t="shared" si="33"/>
        <v/>
      </c>
      <c r="AL69" s="66" t="str">
        <f t="shared" si="33"/>
        <v/>
      </c>
      <c r="AM69" s="66" t="str">
        <f t="shared" si="33"/>
        <v/>
      </c>
      <c r="AN69" s="66" t="str">
        <f t="shared" si="33"/>
        <v/>
      </c>
      <c r="AO69" s="66" t="str">
        <f t="shared" si="33"/>
        <v/>
      </c>
      <c r="AP69" s="66" t="str">
        <f t="shared" si="33"/>
        <v/>
      </c>
      <c r="AQ69" s="67" t="str">
        <f t="shared" si="25"/>
        <v/>
      </c>
      <c r="AR69" s="61"/>
      <c r="AS69" s="42" t="s">
        <v>148</v>
      </c>
      <c r="AU69" s="2"/>
      <c r="AV69" s="3" t="s">
        <v>39</v>
      </c>
    </row>
    <row r="70" spans="1:48" s="3" customFormat="1" outlineLevel="2">
      <c r="A70" s="2"/>
      <c r="B70" s="46" t="s">
        <v>165</v>
      </c>
      <c r="C70" s="47" t="s">
        <v>166</v>
      </c>
      <c r="D70" s="48" t="s">
        <v>37</v>
      </c>
      <c r="E70" s="48" t="s">
        <v>24</v>
      </c>
      <c r="F70" s="41">
        <v>6</v>
      </c>
      <c r="G70" s="41">
        <f>F70</f>
        <v>6</v>
      </c>
      <c r="H70" s="66" t="str">
        <f t="shared" si="30"/>
        <v/>
      </c>
      <c r="I70" s="66" t="str">
        <f t="shared" si="30"/>
        <v/>
      </c>
      <c r="J70" s="66" t="str">
        <f t="shared" si="30"/>
        <v/>
      </c>
      <c r="K70" s="66" t="str">
        <f t="shared" si="30"/>
        <v/>
      </c>
      <c r="L70" s="74" t="str">
        <f t="shared" si="30"/>
        <v/>
      </c>
      <c r="M70" s="74">
        <f t="shared" si="30"/>
        <v>2</v>
      </c>
      <c r="N70" s="68" t="str">
        <f t="shared" si="30"/>
        <v/>
      </c>
      <c r="O70" s="66" t="str">
        <f t="shared" si="30"/>
        <v/>
      </c>
      <c r="P70" s="66" t="str">
        <f t="shared" si="30"/>
        <v/>
      </c>
      <c r="Q70" s="66" t="str">
        <f t="shared" si="30"/>
        <v/>
      </c>
      <c r="R70" s="66" t="str">
        <f t="shared" si="30"/>
        <v/>
      </c>
      <c r="S70" s="67" t="str">
        <f t="shared" si="35"/>
        <v/>
      </c>
      <c r="T70" s="68" t="str">
        <f t="shared" si="31"/>
        <v/>
      </c>
      <c r="U70" s="66" t="str">
        <f t="shared" si="36"/>
        <v/>
      </c>
      <c r="V70" s="66" t="str">
        <f t="shared" si="32"/>
        <v/>
      </c>
      <c r="W70" s="66" t="str">
        <f t="shared" si="32"/>
        <v/>
      </c>
      <c r="X70" s="66" t="str">
        <f t="shared" si="32"/>
        <v/>
      </c>
      <c r="Y70" s="66" t="str">
        <f t="shared" si="32"/>
        <v/>
      </c>
      <c r="Z70" s="66" t="str">
        <f t="shared" si="32"/>
        <v/>
      </c>
      <c r="AA70" s="66" t="str">
        <f t="shared" si="32"/>
        <v/>
      </c>
      <c r="AB70" s="66" t="str">
        <f t="shared" si="32"/>
        <v/>
      </c>
      <c r="AC70" s="66" t="str">
        <f t="shared" si="32"/>
        <v/>
      </c>
      <c r="AD70" s="66" t="str">
        <f t="shared" si="32"/>
        <v/>
      </c>
      <c r="AE70" s="67" t="str">
        <f t="shared" si="32"/>
        <v/>
      </c>
      <c r="AF70" s="68" t="str">
        <f t="shared" si="33"/>
        <v/>
      </c>
      <c r="AG70" s="66" t="str">
        <f t="shared" si="33"/>
        <v/>
      </c>
      <c r="AH70" s="66" t="str">
        <f t="shared" si="33"/>
        <v/>
      </c>
      <c r="AI70" s="66" t="str">
        <f t="shared" si="33"/>
        <v/>
      </c>
      <c r="AJ70" s="66" t="str">
        <f t="shared" si="33"/>
        <v/>
      </c>
      <c r="AK70" s="66" t="str">
        <f t="shared" si="33"/>
        <v/>
      </c>
      <c r="AL70" s="66" t="str">
        <f t="shared" si="33"/>
        <v/>
      </c>
      <c r="AM70" s="66" t="str">
        <f t="shared" si="33"/>
        <v/>
      </c>
      <c r="AN70" s="66" t="str">
        <f t="shared" si="33"/>
        <v/>
      </c>
      <c r="AO70" s="66" t="str">
        <f t="shared" si="33"/>
        <v/>
      </c>
      <c r="AP70" s="66" t="str">
        <f t="shared" si="33"/>
        <v/>
      </c>
      <c r="AQ70" s="67" t="str">
        <f t="shared" si="25"/>
        <v/>
      </c>
      <c r="AR70" s="62"/>
      <c r="AS70" s="42" t="s">
        <v>148</v>
      </c>
      <c r="AU70" s="2"/>
      <c r="AV70" s="3" t="s">
        <v>39</v>
      </c>
    </row>
    <row r="71" spans="1:48" s="3" customFormat="1" ht="7.5" customHeight="1">
      <c r="A71" s="2"/>
      <c r="B71" s="1"/>
      <c r="C71" s="2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2"/>
      <c r="AU71" s="2"/>
    </row>
    <row r="72" spans="1:48" s="3" customFormat="1">
      <c r="A72" s="2"/>
      <c r="B72" s="1"/>
      <c r="C72" s="27" t="s">
        <v>167</v>
      </c>
      <c r="D72" s="2"/>
      <c r="E72" s="2"/>
      <c r="F72" s="1"/>
      <c r="G72" s="1"/>
      <c r="H72" s="1"/>
      <c r="I72" s="28" t="s">
        <v>168</v>
      </c>
      <c r="J72" s="1"/>
      <c r="K72" s="1"/>
      <c r="L72" s="1"/>
      <c r="M72" s="1"/>
      <c r="N72" s="29"/>
      <c r="O72" s="1"/>
      <c r="P72" s="1" t="s">
        <v>27</v>
      </c>
      <c r="Q72" s="1"/>
      <c r="R72" s="30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2"/>
      <c r="AU72" s="2"/>
    </row>
    <row r="73" spans="1:48" s="3" customFormat="1" ht="3.75" customHeight="1">
      <c r="A73" s="2"/>
      <c r="B73" s="1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2"/>
      <c r="AU73" s="2"/>
    </row>
    <row r="74" spans="1:48" s="3" customFormat="1">
      <c r="A74" s="2"/>
      <c r="B74" s="1"/>
      <c r="C74" s="27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8" t="s">
        <v>47</v>
      </c>
      <c r="U74" s="1"/>
      <c r="V74" s="1"/>
      <c r="W74" s="1"/>
      <c r="X74" s="1">
        <v>1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2"/>
      <c r="AU74" s="2"/>
    </row>
    <row r="75" spans="1:48" s="3" customFormat="1">
      <c r="A75" s="2"/>
      <c r="B75" s="1"/>
      <c r="C75" s="31" t="s">
        <v>169</v>
      </c>
      <c r="D75" s="2" t="s">
        <v>47</v>
      </c>
      <c r="E75" s="1">
        <v>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2"/>
      <c r="AU75" s="2"/>
    </row>
    <row r="76" spans="1:48" s="3" customFormat="1">
      <c r="A76" s="2"/>
      <c r="B76" s="1"/>
      <c r="C76" s="31" t="s">
        <v>170</v>
      </c>
      <c r="D76" s="2" t="s">
        <v>37</v>
      </c>
      <c r="E76" s="1">
        <v>2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2"/>
      <c r="AU76" s="2"/>
    </row>
    <row r="77" spans="1:48" s="3" customFormat="1">
      <c r="A77" s="2"/>
      <c r="B77" s="1"/>
      <c r="C77" s="31" t="s">
        <v>171</v>
      </c>
      <c r="D77" s="2" t="s">
        <v>27</v>
      </c>
      <c r="E77" s="3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2"/>
      <c r="AU77" s="2"/>
    </row>
    <row r="78" spans="1:48" s="3" customFormat="1">
      <c r="A78" s="2"/>
      <c r="B78" s="1"/>
      <c r="C78" s="31" t="s">
        <v>172</v>
      </c>
      <c r="D78" s="2" t="s">
        <v>23</v>
      </c>
      <c r="E78" s="29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2"/>
      <c r="AU78" s="2"/>
    </row>
    <row r="79" spans="1:48">
      <c r="E79" s="1"/>
    </row>
    <row r="80" spans="1:48">
      <c r="C80" s="27" t="s">
        <v>173</v>
      </c>
    </row>
    <row r="81" spans="4:4">
      <c r="D81" s="2" t="s">
        <v>30</v>
      </c>
    </row>
    <row r="82" spans="4:4">
      <c r="D82" s="2" t="s">
        <v>24</v>
      </c>
    </row>
    <row r="83" spans="4:4">
      <c r="D83" s="2" t="s">
        <v>72</v>
      </c>
    </row>
    <row r="84" spans="4:4">
      <c r="D84" s="2" t="s">
        <v>93</v>
      </c>
    </row>
    <row r="85" spans="4:4">
      <c r="D85" s="2" t="s">
        <v>77</v>
      </c>
    </row>
  </sheetData>
  <mergeCells count="3">
    <mergeCell ref="I2:S2"/>
    <mergeCell ref="U2:AF2"/>
    <mergeCell ref="AG2:AQ2"/>
  </mergeCells>
  <conditionalFormatting sqref="H5:AQ70">
    <cfRule type="expression" dxfId="7" priority="49">
      <formula>AND($D5="Work package",H$4&gt;=$F5,H$4&lt;=$G5)</formula>
    </cfRule>
    <cfRule type="expression" dxfId="6" priority="50">
      <formula>AND($D5="Task",H$4&gt;=$F5,H$4&lt;=$G5)</formula>
    </cfRule>
  </conditionalFormatting>
  <conditionalFormatting sqref="U61">
    <cfRule type="expression" dxfId="5" priority="75">
      <formula>AND($D61="Work package",S$4&gt;=$F61,S$4&lt;=$G61)</formula>
    </cfRule>
    <cfRule type="expression" dxfId="4" priority="76">
      <formula>AND($D61="Task",S$4&gt;=$F61,S$4&lt;=$G61)</formula>
    </cfRule>
  </conditionalFormatting>
  <conditionalFormatting sqref="X74">
    <cfRule type="expression" dxfId="3" priority="56">
      <formula>AND($D72="Work package",W$4&gt;=$E72,W$4&lt;=$G72)</formula>
    </cfRule>
    <cfRule type="expression" dxfId="2" priority="57">
      <formula>AND($D72="Task",W$4&gt;=$E72,W$4&lt;=$G72)</formula>
    </cfRule>
  </conditionalFormatting>
  <conditionalFormatting sqref="AA72 E75:E76 E79">
    <cfRule type="expression" dxfId="1" priority="47">
      <formula>AND($D72="Work package",F$4&gt;=$E72,F$4&lt;=$G72)</formula>
    </cfRule>
    <cfRule type="expression" dxfId="0" priority="48">
      <formula>AND($D72="Task",F$4&gt;=$E72,F$4&lt;=$G72)</formula>
    </cfRule>
  </conditionalFormatting>
  <dataValidations count="2">
    <dataValidation type="list" allowBlank="1" showInputMessage="1" showErrorMessage="1" sqref="E5:E70" xr:uid="{E97728AA-C969-4D90-B104-C398BFB44ED9}">
      <formula1>$D$81:$D$85</formula1>
    </dataValidation>
    <dataValidation type="list" allowBlank="1" showInputMessage="1" showErrorMessage="1" sqref="D5:D70" xr:uid="{EC8E9E7B-F69C-4B32-9433-008650617A66}">
      <formula1>$D$75:$D$78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78D6534F-103D-4357-AABE-89FB0141E9EA}">
            <x14:iconSet iconSet="3Flag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E75</xm:sqref>
        </x14:conditionalFormatting>
        <x14:conditionalFormatting xmlns:xm="http://schemas.microsoft.com/office/excel/2006/main">
          <x14:cfRule type="iconSet" priority="7" id="{A26D9226-64BB-427D-8196-1A01344D37C9}">
            <x14:iconSet iconSet="3Flag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E76</xm:sqref>
        </x14:conditionalFormatting>
        <x14:conditionalFormatting xmlns:xm="http://schemas.microsoft.com/office/excel/2006/main">
          <x14:cfRule type="iconSet" priority="46" id="{8250A7E7-3E5F-47B0-ADFA-BB8C30DE50AE}">
            <x14:iconSet iconSet="3Flag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E79</xm:sqref>
        </x14:conditionalFormatting>
        <x14:conditionalFormatting xmlns:xm="http://schemas.microsoft.com/office/excel/2006/main">
          <x14:cfRule type="iconSet" priority="70" id="{3D94C9AE-2D69-47A6-90E8-7A7D34532810}">
            <x14:iconSet iconSet="3Flag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H5:AQ70</xm:sqref>
        </x14:conditionalFormatting>
        <x14:conditionalFormatting xmlns:xm="http://schemas.microsoft.com/office/excel/2006/main">
          <x14:cfRule type="iconSet" priority="55" id="{3F8DB042-6E55-4BEB-958E-5D6464AE5C5C}">
            <x14:iconSet iconSet="3Flag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9" id="{F86B03E3-3799-482C-9D6E-55D3E6DBDEF9}">
            <x14:iconSet iconSet="3Flag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AA72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8A89-89F9-4390-AA3F-6DB2BBE83342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1b1cfe-4994-438d-ac66-d388656f1d46" xsi:nil="true"/>
    <lcf76f155ced4ddcb4097134ff3c332f xmlns="c4461736-628a-44a5-b656-36022441e6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15B2C727EC340B104133C34AD1546" ma:contentTypeVersion="14" ma:contentTypeDescription="Create a new document." ma:contentTypeScope="" ma:versionID="f5f6f1477b8e6bc6a67f5163dea3fee2">
  <xsd:schema xmlns:xsd="http://www.w3.org/2001/XMLSchema" xmlns:xs="http://www.w3.org/2001/XMLSchema" xmlns:p="http://schemas.microsoft.com/office/2006/metadata/properties" xmlns:ns2="c4461736-628a-44a5-b656-36022441e607" xmlns:ns3="2c1b1cfe-4994-438d-ac66-d388656f1d46" targetNamespace="http://schemas.microsoft.com/office/2006/metadata/properties" ma:root="true" ma:fieldsID="6dec8511101b21a6c8482c7cd88cb614" ns2:_="" ns3:_="">
    <xsd:import namespace="c4461736-628a-44a5-b656-36022441e607"/>
    <xsd:import namespace="2c1b1cfe-4994-438d-ac66-d388656f1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61736-628a-44a5-b656-36022441e6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1b1cfe-4994-438d-ac66-d388656f1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45437b8-c66c-4ab6-986e-67f9041437c8}" ma:internalName="TaxCatchAll" ma:showField="CatchAllData" ma:web="2c1b1cfe-4994-438d-ac66-d388656f1d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C7517F-9D43-4453-B0A1-B04CC835350C}"/>
</file>

<file path=customXml/itemProps2.xml><?xml version="1.0" encoding="utf-8"?>
<ds:datastoreItem xmlns:ds="http://schemas.openxmlformats.org/officeDocument/2006/customXml" ds:itemID="{0A1708B3-A14B-4C8A-8789-2F680DB78D4D}"/>
</file>

<file path=customXml/itemProps3.xml><?xml version="1.0" encoding="utf-8"?>
<ds:datastoreItem xmlns:ds="http://schemas.openxmlformats.org/officeDocument/2006/customXml" ds:itemID="{50890719-F3F3-4FA7-A7BE-0622D3C14B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Bajaj, Mini</dc:creator>
  <cp:keywords/>
  <dc:description/>
  <cp:lastModifiedBy/>
  <cp:revision/>
  <dcterms:created xsi:type="dcterms:W3CDTF">2024-11-26T14:28:27Z</dcterms:created>
  <dcterms:modified xsi:type="dcterms:W3CDTF">2026-06-22T15:11:13Z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0x01010061915B2C727EC340B104133C34AD1546</vt:lpwstr>
  </property>
  <property fmtid="{D5CDD505-2E9C-101B-9397-08002B2CF9AE}" pid="3" name="Order">
    <vt:r8>1000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